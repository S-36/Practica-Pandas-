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víos" sheetId="1" state="visible" r:id="rId1"/>
    <sheet xmlns:r="http://schemas.openxmlformats.org/officeDocument/2006/relationships" name="Clientes" sheetId="2" state="visible" r:id="rId2"/>
    <sheet xmlns:r="http://schemas.openxmlformats.org/officeDocument/2006/relationships" name="Camiones" sheetId="3" state="visible" r:id="rId3"/>
    <sheet xmlns:r="http://schemas.openxmlformats.org/officeDocument/2006/relationships" name="Resumen_KP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YYYY-MM-DD"/>
    <numFmt numFmtId="166" formatCode="&quot;$&quot;#,##0.00"/>
    <numFmt numFmtId="167" formatCode="&quot;$&quot;#,##0"/>
    <numFmt numFmtId="168" formatCode="#,##0.0"/>
    <numFmt numFmtId="169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4E79"/>
      <sz val="14"/>
    </font>
    <font>
      <name val="Arial"/>
      <b val="1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166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166" fontId="2" fillId="0" borderId="1" applyAlignment="1" pivotButton="0" quotePrefix="0" xfId="0">
      <alignment horizontal="center" vertical="center"/>
    </xf>
    <xf numFmtId="167" fontId="2" fillId="3" borderId="1" applyAlignment="1" pivotButton="0" quotePrefix="0" xfId="0">
      <alignment horizontal="center" vertical="center"/>
    </xf>
    <xf numFmtId="167" fontId="2" fillId="0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166" fontId="5" fillId="3" borderId="1" applyAlignment="1" pivotButton="0" quotePrefix="0" xfId="0">
      <alignment horizontal="center" vertical="center"/>
    </xf>
    <xf numFmtId="168" fontId="5" fillId="3" borderId="1" applyAlignment="1" pivotButton="0" quotePrefix="0" xfId="0">
      <alignment horizontal="center" vertical="center"/>
    </xf>
    <xf numFmtId="169" fontId="5" fillId="3" borderId="1" applyAlignment="1" pivotButton="0" quotePrefix="0" xfId="0">
      <alignment horizontal="center" vertical="center"/>
    </xf>
    <xf numFmtId="3" fontId="5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4" customWidth="1" min="4" max="4"/>
    <col width="14" customWidth="1" min="5" max="5"/>
    <col width="14" customWidth="1" min="6" max="6"/>
    <col width="12" customWidth="1" min="7" max="7"/>
    <col width="13" customWidth="1" min="8" max="8"/>
    <col width="14" customWidth="1" min="9" max="9"/>
    <col width="16" customWidth="1" min="10" max="10"/>
    <col width="12" customWidth="1" min="11" max="11"/>
  </cols>
  <sheetData>
    <row r="1" ht="22" customHeight="1">
      <c r="A1" s="1" t="inlineStr">
        <is>
          <t>ID_Envio</t>
        </is>
      </c>
      <c r="B1" s="1" t="inlineStr">
        <is>
          <t>Fecha</t>
        </is>
      </c>
      <c r="C1" s="1" t="inlineStr">
        <is>
          <t>Cliente</t>
        </is>
      </c>
      <c r="D1" s="1" t="inlineStr">
        <is>
          <t>Origen</t>
        </is>
      </c>
      <c r="E1" s="1" t="inlineStr">
        <is>
          <t>Destino</t>
        </is>
      </c>
      <c r="F1" s="1" t="inlineStr">
        <is>
          <t>Distancia_km</t>
        </is>
      </c>
      <c r="G1" s="1" t="inlineStr">
        <is>
          <t>Peso_kg</t>
        </is>
      </c>
      <c r="H1" s="1" t="inlineStr">
        <is>
          <t>Tarifa_USD</t>
        </is>
      </c>
      <c r="I1" s="1" t="inlineStr">
        <is>
          <t>Estado</t>
        </is>
      </c>
      <c r="J1" s="1" t="inlineStr">
        <is>
          <t>Conductor</t>
        </is>
      </c>
      <c r="K1" s="1" t="inlineStr">
        <is>
          <t>Camion_ID</t>
        </is>
      </c>
    </row>
    <row r="2">
      <c r="A2" s="2" t="inlineStr">
        <is>
          <t>ENV-0001</t>
        </is>
      </c>
      <c r="B2" s="3" t="n">
        <v>45619</v>
      </c>
      <c r="C2" s="2" t="inlineStr">
        <is>
          <t>FreightMax</t>
        </is>
      </c>
      <c r="D2" s="2" t="inlineStr">
        <is>
          <t>Bogotá</t>
        </is>
      </c>
      <c r="E2" s="2" t="inlineStr">
        <is>
          <t>Manizales</t>
        </is>
      </c>
      <c r="F2" s="2" t="n">
        <v>328</v>
      </c>
      <c r="G2" s="2" t="n">
        <v>1319</v>
      </c>
      <c r="H2" s="4" t="n">
        <v>272.29</v>
      </c>
      <c r="I2" s="2" t="inlineStr">
        <is>
          <t>Entregado</t>
        </is>
      </c>
      <c r="J2" s="2" t="inlineStr">
        <is>
          <t>Carlos Ruiz</t>
        </is>
      </c>
      <c r="K2" s="2" t="inlineStr">
        <is>
          <t>CAM-005</t>
        </is>
      </c>
    </row>
    <row r="3">
      <c r="A3" s="5" t="inlineStr">
        <is>
          <t>ENV-0002</t>
        </is>
      </c>
      <c r="B3" s="6" t="n">
        <v>45508</v>
      </c>
      <c r="C3" s="5" t="inlineStr">
        <is>
          <t>ExpressLoad</t>
        </is>
      </c>
      <c r="D3" s="5" t="inlineStr">
        <is>
          <t>Bogotá</t>
        </is>
      </c>
      <c r="E3" s="5" t="inlineStr">
        <is>
          <t>Manizales</t>
        </is>
      </c>
      <c r="F3" s="5" t="n">
        <v>165</v>
      </c>
      <c r="G3" s="5" t="n">
        <v>1476</v>
      </c>
      <c r="H3" s="7" t="n">
        <v>72.51000000000001</v>
      </c>
      <c r="I3" s="5" t="inlineStr">
        <is>
          <t>Entregado</t>
        </is>
      </c>
      <c r="J3" s="5" t="inlineStr">
        <is>
          <t>Ana Martínez</t>
        </is>
      </c>
      <c r="K3" s="5" t="inlineStr">
        <is>
          <t>CAM-005</t>
        </is>
      </c>
    </row>
    <row r="4">
      <c r="A4" s="2" t="inlineStr">
        <is>
          <t>ENV-0003</t>
        </is>
      </c>
      <c r="B4" s="3" t="n">
        <v>45506</v>
      </c>
      <c r="C4" s="2" t="inlineStr">
        <is>
          <t>LogiCargo SA</t>
        </is>
      </c>
      <c r="D4" s="2" t="inlineStr">
        <is>
          <t>Medellín</t>
        </is>
      </c>
      <c r="E4" s="2" t="inlineStr">
        <is>
          <t>Pereira</t>
        </is>
      </c>
      <c r="F4" s="2" t="n">
        <v>551</v>
      </c>
      <c r="G4" s="2" t="n">
        <v>15219</v>
      </c>
      <c r="H4" s="4" t="n">
        <v>620.1799999999999</v>
      </c>
      <c r="I4" s="2" t="inlineStr">
        <is>
          <t>En tránsito</t>
        </is>
      </c>
      <c r="J4" s="2" t="inlineStr">
        <is>
          <t>Pedro López</t>
        </is>
      </c>
      <c r="K4" s="2" t="inlineStr">
        <is>
          <t>CAM-003</t>
        </is>
      </c>
    </row>
    <row r="5">
      <c r="A5" s="5" t="inlineStr">
        <is>
          <t>ENV-0004</t>
        </is>
      </c>
      <c r="B5" s="6" t="n">
        <v>45371</v>
      </c>
      <c r="C5" s="5" t="inlineStr">
        <is>
          <t>TransSur</t>
        </is>
      </c>
      <c r="D5" s="5" t="inlineStr">
        <is>
          <t>Cali</t>
        </is>
      </c>
      <c r="E5" s="5" t="inlineStr">
        <is>
          <t>Manizales</t>
        </is>
      </c>
      <c r="F5" s="5" t="n">
        <v>540</v>
      </c>
      <c r="G5" s="5" t="n">
        <v>11529</v>
      </c>
      <c r="H5" s="7" t="n">
        <v>444.02</v>
      </c>
      <c r="I5" s="5" t="inlineStr">
        <is>
          <t>Entregado</t>
        </is>
      </c>
      <c r="J5" s="5" t="inlineStr">
        <is>
          <t>Pedro López</t>
        </is>
      </c>
      <c r="K5" s="5" t="inlineStr">
        <is>
          <t>CAM-001</t>
        </is>
      </c>
    </row>
    <row r="6">
      <c r="A6" s="2" t="inlineStr">
        <is>
          <t>ENV-0005</t>
        </is>
      </c>
      <c r="B6" s="3" t="n">
        <v>45527</v>
      </c>
      <c r="C6" s="2" t="inlineStr">
        <is>
          <t>ExpressLoad</t>
        </is>
      </c>
      <c r="D6" s="2" t="inlineStr">
        <is>
          <t>Cali</t>
        </is>
      </c>
      <c r="E6" s="2" t="inlineStr">
        <is>
          <t>Manizales</t>
        </is>
      </c>
      <c r="F6" s="2" t="n">
        <v>1198</v>
      </c>
      <c r="G6" s="2" t="n">
        <v>4590</v>
      </c>
      <c r="H6" s="4" t="n">
        <v>775.52</v>
      </c>
      <c r="I6" s="2" t="inlineStr">
        <is>
          <t>Entregado</t>
        </is>
      </c>
      <c r="J6" s="2" t="inlineStr">
        <is>
          <t>Pedro López</t>
        </is>
      </c>
      <c r="K6" s="2" t="inlineStr">
        <is>
          <t>CAM-005</t>
        </is>
      </c>
    </row>
    <row r="7">
      <c r="A7" s="5" t="inlineStr">
        <is>
          <t>ENV-0006</t>
        </is>
      </c>
      <c r="B7" s="6" t="n">
        <v>45390</v>
      </c>
      <c r="C7" s="5" t="inlineStr">
        <is>
          <t>LogiCargo SA</t>
        </is>
      </c>
      <c r="D7" s="5" t="inlineStr">
        <is>
          <t>Medellín</t>
        </is>
      </c>
      <c r="E7" s="5" t="inlineStr">
        <is>
          <t>Cartagena</t>
        </is>
      </c>
      <c r="F7" s="5" t="n">
        <v>242</v>
      </c>
      <c r="G7" s="5" t="n">
        <v>2001</v>
      </c>
      <c r="H7" s="7" t="n">
        <v>231.17</v>
      </c>
      <c r="I7" s="5" t="inlineStr">
        <is>
          <t>En tránsito</t>
        </is>
      </c>
      <c r="J7" s="5" t="inlineStr">
        <is>
          <t>Laura Torres</t>
        </is>
      </c>
      <c r="K7" s="5" t="inlineStr">
        <is>
          <t>CAM-003</t>
        </is>
      </c>
    </row>
    <row r="8">
      <c r="A8" s="2" t="inlineStr">
        <is>
          <t>ENV-0007</t>
        </is>
      </c>
      <c r="B8" s="3" t="n">
        <v>45524</v>
      </c>
      <c r="C8" s="2" t="inlineStr">
        <is>
          <t>TransSur</t>
        </is>
      </c>
      <c r="D8" s="2" t="inlineStr">
        <is>
          <t>Bogotá</t>
        </is>
      </c>
      <c r="E8" s="2" t="inlineStr">
        <is>
          <t>Manizales</t>
        </is>
      </c>
      <c r="F8" s="2" t="n">
        <v>1401</v>
      </c>
      <c r="G8" s="2" t="n">
        <v>12454</v>
      </c>
      <c r="H8" s="4" t="n">
        <v>862.0599999999999</v>
      </c>
      <c r="I8" s="2" t="inlineStr">
        <is>
          <t>Entregado</t>
        </is>
      </c>
      <c r="J8" s="2" t="inlineStr">
        <is>
          <t>Ana Martínez</t>
        </is>
      </c>
      <c r="K8" s="2" t="inlineStr">
        <is>
          <t>CAM-005</t>
        </is>
      </c>
    </row>
    <row r="9">
      <c r="A9" s="5" t="inlineStr">
        <is>
          <t>ENV-0008</t>
        </is>
      </c>
      <c r="B9" s="6" t="n">
        <v>45417</v>
      </c>
      <c r="C9" s="5" t="inlineStr">
        <is>
          <t>ExpressLoad</t>
        </is>
      </c>
      <c r="D9" s="5" t="inlineStr">
        <is>
          <t>Medellín</t>
        </is>
      </c>
      <c r="E9" s="5" t="inlineStr">
        <is>
          <t>Cúcuta</t>
        </is>
      </c>
      <c r="F9" s="5" t="n">
        <v>434</v>
      </c>
      <c r="G9" s="5" t="n">
        <v>15647</v>
      </c>
      <c r="H9" s="7" t="n">
        <v>534.13</v>
      </c>
      <c r="I9" s="5" t="inlineStr">
        <is>
          <t>Cancelado</t>
        </is>
      </c>
      <c r="J9" s="5" t="inlineStr">
        <is>
          <t>Carlos Ruiz</t>
        </is>
      </c>
      <c r="K9" s="5" t="inlineStr">
        <is>
          <t>CAM-002</t>
        </is>
      </c>
    </row>
    <row r="10">
      <c r="A10" s="2" t="inlineStr">
        <is>
          <t>ENV-0009</t>
        </is>
      </c>
      <c r="B10" s="3" t="n">
        <v>45308</v>
      </c>
      <c r="C10" s="2" t="inlineStr">
        <is>
          <t>ExpressLoad</t>
        </is>
      </c>
      <c r="D10" s="2" t="inlineStr">
        <is>
          <t>Cali</t>
        </is>
      </c>
      <c r="E10" s="2" t="inlineStr">
        <is>
          <t>Santa Marta</t>
        </is>
      </c>
      <c r="F10" s="2" t="n">
        <v>746</v>
      </c>
      <c r="G10" s="2" t="n">
        <v>13645</v>
      </c>
      <c r="H10" s="4" t="n">
        <v>612.15</v>
      </c>
      <c r="I10" s="2" t="inlineStr">
        <is>
          <t>Entregado</t>
        </is>
      </c>
      <c r="J10" s="2" t="inlineStr">
        <is>
          <t>Laura Torres</t>
        </is>
      </c>
      <c r="K10" s="2" t="inlineStr">
        <is>
          <t>CAM-004</t>
        </is>
      </c>
    </row>
    <row r="11">
      <c r="A11" s="5" t="inlineStr">
        <is>
          <t>ENV-0010</t>
        </is>
      </c>
      <c r="B11" s="6" t="n">
        <v>45621</v>
      </c>
      <c r="C11" s="5" t="inlineStr">
        <is>
          <t>ExpressLoad</t>
        </is>
      </c>
      <c r="D11" s="5" t="inlineStr">
        <is>
          <t>Bucaramanga</t>
        </is>
      </c>
      <c r="E11" s="5" t="inlineStr">
        <is>
          <t>Cúcuta</t>
        </is>
      </c>
      <c r="F11" s="5" t="n">
        <v>1039</v>
      </c>
      <c r="G11" s="5" t="n">
        <v>5181</v>
      </c>
      <c r="H11" s="7" t="n">
        <v>574.15</v>
      </c>
      <c r="I11" s="5" t="inlineStr">
        <is>
          <t>Entregado</t>
        </is>
      </c>
      <c r="J11" s="5" t="inlineStr">
        <is>
          <t>Miguel Ríos</t>
        </is>
      </c>
      <c r="K11" s="5" t="inlineStr">
        <is>
          <t>CAM-004</t>
        </is>
      </c>
    </row>
    <row r="12">
      <c r="A12" s="2" t="inlineStr">
        <is>
          <t>ENV-0011</t>
        </is>
      </c>
      <c r="B12" s="3" t="n">
        <v>45590</v>
      </c>
      <c r="C12" s="2" t="inlineStr">
        <is>
          <t>ExpressLoad</t>
        </is>
      </c>
      <c r="D12" s="2" t="inlineStr">
        <is>
          <t>Barranquilla</t>
        </is>
      </c>
      <c r="E12" s="2" t="inlineStr">
        <is>
          <t>Cartagena</t>
        </is>
      </c>
      <c r="F12" s="2" t="n">
        <v>917</v>
      </c>
      <c r="G12" s="2" t="n">
        <v>12361</v>
      </c>
      <c r="H12" s="4" t="n">
        <v>653.73</v>
      </c>
      <c r="I12" s="2" t="inlineStr">
        <is>
          <t>Cancelado</t>
        </is>
      </c>
      <c r="J12" s="2" t="inlineStr">
        <is>
          <t>Carlos Ruiz</t>
        </is>
      </c>
      <c r="K12" s="2" t="inlineStr">
        <is>
          <t>CAM-001</t>
        </is>
      </c>
    </row>
    <row r="13">
      <c r="A13" s="5" t="inlineStr">
        <is>
          <t>ENV-0012</t>
        </is>
      </c>
      <c r="B13" s="6" t="n">
        <v>45370</v>
      </c>
      <c r="C13" s="5" t="inlineStr">
        <is>
          <t>LogiCargo SA</t>
        </is>
      </c>
      <c r="D13" s="5" t="inlineStr">
        <is>
          <t>Barranquilla</t>
        </is>
      </c>
      <c r="E13" s="5" t="inlineStr">
        <is>
          <t>Pereira</t>
        </is>
      </c>
      <c r="F13" s="5" t="n">
        <v>1385</v>
      </c>
      <c r="G13" s="5" t="n">
        <v>5742</v>
      </c>
      <c r="H13" s="7" t="n">
        <v>846.51</v>
      </c>
      <c r="I13" s="5" t="inlineStr">
        <is>
          <t>Entregado</t>
        </is>
      </c>
      <c r="J13" s="5" t="inlineStr">
        <is>
          <t>Miguel Ríos</t>
        </is>
      </c>
      <c r="K13" s="5" t="inlineStr">
        <is>
          <t>CAM-004</t>
        </is>
      </c>
    </row>
    <row r="14">
      <c r="A14" s="2" t="inlineStr">
        <is>
          <t>ENV-0013</t>
        </is>
      </c>
      <c r="B14" s="3" t="n">
        <v>45562</v>
      </c>
      <c r="C14" s="2" t="inlineStr">
        <is>
          <t>LogiCargo SA</t>
        </is>
      </c>
      <c r="D14" s="2" t="inlineStr">
        <is>
          <t>Bucaramanga</t>
        </is>
      </c>
      <c r="E14" s="2" t="inlineStr">
        <is>
          <t>Cúcuta</t>
        </is>
      </c>
      <c r="F14" s="2" t="n">
        <v>614</v>
      </c>
      <c r="G14" s="2" t="n">
        <v>18628</v>
      </c>
      <c r="H14" s="4" t="n">
        <v>771.02</v>
      </c>
      <c r="I14" s="2" t="inlineStr">
        <is>
          <t>Entregado</t>
        </is>
      </c>
      <c r="J14" s="2" t="inlineStr">
        <is>
          <t>Pedro López</t>
        </is>
      </c>
      <c r="K14" s="2" t="inlineStr">
        <is>
          <t>CAM-001</t>
        </is>
      </c>
    </row>
    <row r="15">
      <c r="A15" s="5" t="inlineStr">
        <is>
          <t>ENV-0014</t>
        </is>
      </c>
      <c r="B15" s="6" t="n">
        <v>45442</v>
      </c>
      <c r="C15" s="5" t="inlineStr">
        <is>
          <t>TransSur</t>
        </is>
      </c>
      <c r="D15" s="5" t="inlineStr">
        <is>
          <t>Bucaramanga</t>
        </is>
      </c>
      <c r="E15" s="5" t="inlineStr">
        <is>
          <t>Santa Marta</t>
        </is>
      </c>
      <c r="F15" s="5" t="n">
        <v>990</v>
      </c>
      <c r="G15" s="5" t="n">
        <v>5682</v>
      </c>
      <c r="H15" s="7" t="n">
        <v>599.88</v>
      </c>
      <c r="I15" s="5" t="inlineStr">
        <is>
          <t>Cancelado</t>
        </is>
      </c>
      <c r="J15" s="5" t="inlineStr">
        <is>
          <t>Miguel Ríos</t>
        </is>
      </c>
      <c r="K15" s="5" t="inlineStr">
        <is>
          <t>CAM-001</t>
        </is>
      </c>
    </row>
    <row r="16">
      <c r="A16" s="2" t="inlineStr">
        <is>
          <t>ENV-0015</t>
        </is>
      </c>
      <c r="B16" s="3" t="n">
        <v>45612</v>
      </c>
      <c r="C16" s="2" t="inlineStr">
        <is>
          <t>FreightMax</t>
        </is>
      </c>
      <c r="D16" s="2" t="inlineStr">
        <is>
          <t>Bucaramanga</t>
        </is>
      </c>
      <c r="E16" s="2" t="inlineStr">
        <is>
          <t>Manizales</t>
        </is>
      </c>
      <c r="F16" s="2" t="n">
        <v>711</v>
      </c>
      <c r="G16" s="2" t="n">
        <v>17135</v>
      </c>
      <c r="H16" s="4" t="n">
        <v>734.4400000000001</v>
      </c>
      <c r="I16" s="2" t="inlineStr">
        <is>
          <t>Entregado</t>
        </is>
      </c>
      <c r="J16" s="2" t="inlineStr">
        <is>
          <t>Carlos Ruiz</t>
        </is>
      </c>
      <c r="K16" s="2" t="inlineStr">
        <is>
          <t>CAM-005</t>
        </is>
      </c>
    </row>
    <row r="17">
      <c r="A17" s="5" t="inlineStr">
        <is>
          <t>ENV-0016</t>
        </is>
      </c>
      <c r="B17" s="6" t="n">
        <v>45457</v>
      </c>
      <c r="C17" s="5" t="inlineStr">
        <is>
          <t>TransSur</t>
        </is>
      </c>
      <c r="D17" s="5" t="inlineStr">
        <is>
          <t>Medellín</t>
        </is>
      </c>
      <c r="E17" s="5" t="inlineStr">
        <is>
          <t>Cartagena</t>
        </is>
      </c>
      <c r="F17" s="5" t="n">
        <v>1100</v>
      </c>
      <c r="G17" s="5" t="n">
        <v>1138</v>
      </c>
      <c r="H17" s="7" t="n">
        <v>490.13</v>
      </c>
      <c r="I17" s="5" t="inlineStr">
        <is>
          <t>Entregado</t>
        </is>
      </c>
      <c r="J17" s="5" t="inlineStr">
        <is>
          <t>Ana Martínez</t>
        </is>
      </c>
      <c r="K17" s="5" t="inlineStr">
        <is>
          <t>CAM-005</t>
        </is>
      </c>
    </row>
    <row r="18">
      <c r="A18" s="2" t="inlineStr">
        <is>
          <t>ENV-0017</t>
        </is>
      </c>
      <c r="B18" s="3" t="n">
        <v>45332</v>
      </c>
      <c r="C18" s="2" t="inlineStr">
        <is>
          <t>ExpressLoad</t>
        </is>
      </c>
      <c r="D18" s="2" t="inlineStr">
        <is>
          <t>Medellín</t>
        </is>
      </c>
      <c r="E18" s="2" t="inlineStr">
        <is>
          <t>Santa Marta</t>
        </is>
      </c>
      <c r="F18" s="2" t="n">
        <v>275</v>
      </c>
      <c r="G18" s="2" t="n">
        <v>16424</v>
      </c>
      <c r="H18" s="4" t="n">
        <v>565.4299999999999</v>
      </c>
      <c r="I18" s="2" t="inlineStr">
        <is>
          <t>Cancelado</t>
        </is>
      </c>
      <c r="J18" s="2" t="inlineStr">
        <is>
          <t>Laura Torres</t>
        </is>
      </c>
      <c r="K18" s="2" t="inlineStr">
        <is>
          <t>CAM-005</t>
        </is>
      </c>
    </row>
    <row r="19">
      <c r="A19" s="5" t="inlineStr">
        <is>
          <t>ENV-0018</t>
        </is>
      </c>
      <c r="B19" s="6" t="n">
        <v>45376</v>
      </c>
      <c r="C19" s="5" t="inlineStr">
        <is>
          <t>FreightMax</t>
        </is>
      </c>
      <c r="D19" s="5" t="inlineStr">
        <is>
          <t>Bucaramanga</t>
        </is>
      </c>
      <c r="E19" s="5" t="inlineStr">
        <is>
          <t>Santa Marta</t>
        </is>
      </c>
      <c r="F19" s="5" t="n">
        <v>642</v>
      </c>
      <c r="G19" s="5" t="n">
        <v>17790</v>
      </c>
      <c r="H19" s="7" t="n">
        <v>769.1900000000001</v>
      </c>
      <c r="I19" s="5" t="inlineStr">
        <is>
          <t>Entregado</t>
        </is>
      </c>
      <c r="J19" s="5" t="inlineStr">
        <is>
          <t>Pedro López</t>
        </is>
      </c>
      <c r="K19" s="5" t="inlineStr">
        <is>
          <t>CAM-004</t>
        </is>
      </c>
    </row>
    <row r="20">
      <c r="A20" s="2" t="inlineStr">
        <is>
          <t>ENV-0019</t>
        </is>
      </c>
      <c r="B20" s="3" t="n">
        <v>45635</v>
      </c>
      <c r="C20" s="2" t="inlineStr">
        <is>
          <t>LogiCargo SA</t>
        </is>
      </c>
      <c r="D20" s="2" t="inlineStr">
        <is>
          <t>Medellín</t>
        </is>
      </c>
      <c r="E20" s="2" t="inlineStr">
        <is>
          <t>Santa Marta</t>
        </is>
      </c>
      <c r="F20" s="2" t="n">
        <v>1430</v>
      </c>
      <c r="G20" s="2" t="n">
        <v>12736</v>
      </c>
      <c r="H20" s="4" t="n">
        <v>935.84</v>
      </c>
      <c r="I20" s="2" t="inlineStr">
        <is>
          <t>Entregado</t>
        </is>
      </c>
      <c r="J20" s="2" t="inlineStr">
        <is>
          <t>Carlos Ruiz</t>
        </is>
      </c>
      <c r="K20" s="2" t="inlineStr">
        <is>
          <t>CAM-003</t>
        </is>
      </c>
    </row>
    <row r="21">
      <c r="A21" s="5" t="inlineStr">
        <is>
          <t>ENV-0020</t>
        </is>
      </c>
      <c r="B21" s="6" t="n">
        <v>45302</v>
      </c>
      <c r="C21" s="5" t="inlineStr">
        <is>
          <t>LogiCargo SA</t>
        </is>
      </c>
      <c r="D21" s="5" t="inlineStr">
        <is>
          <t>Bogotá</t>
        </is>
      </c>
      <c r="E21" s="5" t="inlineStr">
        <is>
          <t>Santa Marta</t>
        </is>
      </c>
      <c r="F21" s="5" t="n">
        <v>1304</v>
      </c>
      <c r="G21" s="5" t="n">
        <v>18650</v>
      </c>
      <c r="H21" s="7" t="n">
        <v>955.8200000000001</v>
      </c>
      <c r="I21" s="5" t="inlineStr">
        <is>
          <t>Entregado</t>
        </is>
      </c>
      <c r="J21" s="5" t="inlineStr">
        <is>
          <t>Carlos Ruiz</t>
        </is>
      </c>
      <c r="K21" s="5" t="inlineStr">
        <is>
          <t>CAM-001</t>
        </is>
      </c>
    </row>
    <row r="22">
      <c r="A22" s="2" t="inlineStr">
        <is>
          <t>ENV-0021</t>
        </is>
      </c>
      <c r="B22" s="3" t="n">
        <v>45461</v>
      </c>
      <c r="C22" s="2" t="inlineStr">
        <is>
          <t>FreightMax</t>
        </is>
      </c>
      <c r="D22" s="2" t="inlineStr">
        <is>
          <t>Bucaramanga</t>
        </is>
      </c>
      <c r="E22" s="2" t="inlineStr">
        <is>
          <t>Santa Marta</t>
        </is>
      </c>
      <c r="F22" s="2" t="n">
        <v>245</v>
      </c>
      <c r="G22" s="2" t="n">
        <v>17347</v>
      </c>
      <c r="H22" s="4" t="n">
        <v>454.79</v>
      </c>
      <c r="I22" s="2" t="inlineStr">
        <is>
          <t>En tránsito</t>
        </is>
      </c>
      <c r="J22" s="2" t="inlineStr">
        <is>
          <t>Miguel Ríos</t>
        </is>
      </c>
      <c r="K22" s="2" t="inlineStr">
        <is>
          <t>CAM-005</t>
        </is>
      </c>
    </row>
    <row r="23">
      <c r="A23" s="5" t="inlineStr">
        <is>
          <t>ENV-0022</t>
        </is>
      </c>
      <c r="B23" s="6" t="n">
        <v>45534</v>
      </c>
      <c r="C23" s="5" t="inlineStr">
        <is>
          <t>LogiCargo SA</t>
        </is>
      </c>
      <c r="D23" s="5" t="inlineStr">
        <is>
          <t>Barranquilla</t>
        </is>
      </c>
      <c r="E23" s="5" t="inlineStr">
        <is>
          <t>Cúcuta</t>
        </is>
      </c>
      <c r="F23" s="5" t="n">
        <v>597</v>
      </c>
      <c r="G23" s="5" t="n">
        <v>15998</v>
      </c>
      <c r="H23" s="7" t="n">
        <v>700.11</v>
      </c>
      <c r="I23" s="5" t="inlineStr">
        <is>
          <t>Entregado</t>
        </is>
      </c>
      <c r="J23" s="5" t="inlineStr">
        <is>
          <t>Laura Torres</t>
        </is>
      </c>
      <c r="K23" s="5" t="inlineStr">
        <is>
          <t>CAM-004</t>
        </is>
      </c>
    </row>
    <row r="24">
      <c r="A24" s="2" t="inlineStr">
        <is>
          <t>ENV-0023</t>
        </is>
      </c>
      <c r="B24" s="3" t="n">
        <v>45531</v>
      </c>
      <c r="C24" s="2" t="inlineStr">
        <is>
          <t>LogiCargo SA</t>
        </is>
      </c>
      <c r="D24" s="2" t="inlineStr">
        <is>
          <t>Medellín</t>
        </is>
      </c>
      <c r="E24" s="2" t="inlineStr">
        <is>
          <t>Santa Marta</t>
        </is>
      </c>
      <c r="F24" s="2" t="n">
        <v>210</v>
      </c>
      <c r="G24" s="2" t="n">
        <v>3724</v>
      </c>
      <c r="H24" s="4" t="n">
        <v>131.1</v>
      </c>
      <c r="I24" s="2" t="inlineStr">
        <is>
          <t>En tránsito</t>
        </is>
      </c>
      <c r="J24" s="2" t="inlineStr">
        <is>
          <t>Ana Martínez</t>
        </is>
      </c>
      <c r="K24" s="2" t="inlineStr">
        <is>
          <t>CAM-005</t>
        </is>
      </c>
    </row>
    <row r="25">
      <c r="A25" s="5" t="inlineStr">
        <is>
          <t>ENV-0024</t>
        </is>
      </c>
      <c r="B25" s="6" t="n">
        <v>45521</v>
      </c>
      <c r="C25" s="5" t="inlineStr">
        <is>
          <t>LogiCargo SA</t>
        </is>
      </c>
      <c r="D25" s="5" t="inlineStr">
        <is>
          <t>Barranquilla</t>
        </is>
      </c>
      <c r="E25" s="5" t="inlineStr">
        <is>
          <t>Manizales</t>
        </is>
      </c>
      <c r="F25" s="5" t="n">
        <v>387</v>
      </c>
      <c r="G25" s="5" t="n">
        <v>14324</v>
      </c>
      <c r="H25" s="7" t="n">
        <v>447.33</v>
      </c>
      <c r="I25" s="5" t="inlineStr">
        <is>
          <t>Entregado</t>
        </is>
      </c>
      <c r="J25" s="5" t="inlineStr">
        <is>
          <t>Carlos Ruiz</t>
        </is>
      </c>
      <c r="K25" s="5" t="inlineStr">
        <is>
          <t>CAM-001</t>
        </is>
      </c>
    </row>
    <row r="26">
      <c r="A26" s="2" t="inlineStr">
        <is>
          <t>ENV-0025</t>
        </is>
      </c>
      <c r="B26" s="3" t="n">
        <v>45625</v>
      </c>
      <c r="C26" s="2" t="inlineStr">
        <is>
          <t>FreightMax</t>
        </is>
      </c>
      <c r="D26" s="2" t="inlineStr">
        <is>
          <t>Medellín</t>
        </is>
      </c>
      <c r="E26" s="2" t="inlineStr">
        <is>
          <t>Pereira</t>
        </is>
      </c>
      <c r="F26" s="2" t="n">
        <v>1207</v>
      </c>
      <c r="G26" s="2" t="n">
        <v>983</v>
      </c>
      <c r="H26" s="4" t="n">
        <v>706.61</v>
      </c>
      <c r="I26" s="2" t="inlineStr">
        <is>
          <t>Retrasado</t>
        </is>
      </c>
      <c r="J26" s="2" t="inlineStr">
        <is>
          <t>Laura Torres</t>
        </is>
      </c>
      <c r="K26" s="2" t="inlineStr">
        <is>
          <t>CAM-004</t>
        </is>
      </c>
    </row>
    <row r="27">
      <c r="A27" s="5" t="inlineStr">
        <is>
          <t>ENV-0026</t>
        </is>
      </c>
      <c r="B27" s="6" t="n">
        <v>45401</v>
      </c>
      <c r="C27" s="5" t="inlineStr">
        <is>
          <t>CargoNorte</t>
        </is>
      </c>
      <c r="D27" s="5" t="inlineStr">
        <is>
          <t>Cali</t>
        </is>
      </c>
      <c r="E27" s="5" t="inlineStr">
        <is>
          <t>Pereira</t>
        </is>
      </c>
      <c r="F27" s="5" t="n">
        <v>921</v>
      </c>
      <c r="G27" s="5" t="n">
        <v>2421</v>
      </c>
      <c r="H27" s="7" t="n">
        <v>445.8</v>
      </c>
      <c r="I27" s="5" t="inlineStr">
        <is>
          <t>Entregado</t>
        </is>
      </c>
      <c r="J27" s="5" t="inlineStr">
        <is>
          <t>Pedro López</t>
        </is>
      </c>
      <c r="K27" s="5" t="inlineStr">
        <is>
          <t>CAM-004</t>
        </is>
      </c>
    </row>
    <row r="28">
      <c r="A28" s="2" t="inlineStr">
        <is>
          <t>ENV-0027</t>
        </is>
      </c>
      <c r="B28" s="3" t="n">
        <v>45648</v>
      </c>
      <c r="C28" s="2" t="inlineStr">
        <is>
          <t>LogiCargo SA</t>
        </is>
      </c>
      <c r="D28" s="2" t="inlineStr">
        <is>
          <t>Bucaramanga</t>
        </is>
      </c>
      <c r="E28" s="2" t="inlineStr">
        <is>
          <t>Manizales</t>
        </is>
      </c>
      <c r="F28" s="2" t="n">
        <v>1238</v>
      </c>
      <c r="G28" s="2" t="n">
        <v>16447</v>
      </c>
      <c r="H28" s="4" t="n">
        <v>867</v>
      </c>
      <c r="I28" s="2" t="inlineStr">
        <is>
          <t>Entregado</t>
        </is>
      </c>
      <c r="J28" s="2" t="inlineStr">
        <is>
          <t>Carlos Ruiz</t>
        </is>
      </c>
      <c r="K28" s="2" t="inlineStr">
        <is>
          <t>CAM-003</t>
        </is>
      </c>
    </row>
    <row r="29">
      <c r="A29" s="5" t="inlineStr">
        <is>
          <t>ENV-0028</t>
        </is>
      </c>
      <c r="B29" s="6" t="n">
        <v>45321</v>
      </c>
      <c r="C29" s="5" t="inlineStr">
        <is>
          <t>ExpressLoad</t>
        </is>
      </c>
      <c r="D29" s="5" t="inlineStr">
        <is>
          <t>Medellín</t>
        </is>
      </c>
      <c r="E29" s="5" t="inlineStr">
        <is>
          <t>Cartagena</t>
        </is>
      </c>
      <c r="F29" s="5" t="n">
        <v>202</v>
      </c>
      <c r="G29" s="5" t="n">
        <v>19642</v>
      </c>
      <c r="H29" s="7" t="n">
        <v>529.1</v>
      </c>
      <c r="I29" s="5" t="inlineStr">
        <is>
          <t>Retrasado</t>
        </is>
      </c>
      <c r="J29" s="5" t="inlineStr">
        <is>
          <t>Miguel Ríos</t>
        </is>
      </c>
      <c r="K29" s="5" t="inlineStr">
        <is>
          <t>CAM-001</t>
        </is>
      </c>
    </row>
    <row r="30">
      <c r="A30" s="2" t="inlineStr">
        <is>
          <t>ENV-0029</t>
        </is>
      </c>
      <c r="B30" s="3" t="n">
        <v>45387</v>
      </c>
      <c r="C30" s="2" t="inlineStr">
        <is>
          <t>CargoNorte</t>
        </is>
      </c>
      <c r="D30" s="2" t="inlineStr">
        <is>
          <t>Bogotá</t>
        </is>
      </c>
      <c r="E30" s="2" t="inlineStr">
        <is>
          <t>Manizales</t>
        </is>
      </c>
      <c r="F30" s="2" t="n">
        <v>240</v>
      </c>
      <c r="G30" s="2" t="n">
        <v>19998</v>
      </c>
      <c r="H30" s="4" t="n">
        <v>471.55</v>
      </c>
      <c r="I30" s="2" t="inlineStr">
        <is>
          <t>Retrasado</t>
        </is>
      </c>
      <c r="J30" s="2" t="inlineStr">
        <is>
          <t>Ana Martínez</t>
        </is>
      </c>
      <c r="K30" s="2" t="inlineStr">
        <is>
          <t>CAM-005</t>
        </is>
      </c>
    </row>
    <row r="31">
      <c r="A31" s="5" t="inlineStr">
        <is>
          <t>ENV-0030</t>
        </is>
      </c>
      <c r="B31" s="6" t="n">
        <v>45596</v>
      </c>
      <c r="C31" s="5" t="inlineStr">
        <is>
          <t>ExpressLoad</t>
        </is>
      </c>
      <c r="D31" s="5" t="inlineStr">
        <is>
          <t>Cali</t>
        </is>
      </c>
      <c r="E31" s="5" t="inlineStr">
        <is>
          <t>Cúcuta</t>
        </is>
      </c>
      <c r="F31" s="5" t="n">
        <v>181</v>
      </c>
      <c r="G31" s="5" t="n">
        <v>3186</v>
      </c>
      <c r="H31" s="7" t="n">
        <v>179.01</v>
      </c>
      <c r="I31" s="5" t="inlineStr">
        <is>
          <t>Entregado</t>
        </is>
      </c>
      <c r="J31" s="5" t="inlineStr">
        <is>
          <t>Ana Martínez</t>
        </is>
      </c>
      <c r="K31" s="5" t="inlineStr">
        <is>
          <t>CAM-003</t>
        </is>
      </c>
    </row>
    <row r="32">
      <c r="A32" s="2" t="inlineStr">
        <is>
          <t>ENV-0031</t>
        </is>
      </c>
      <c r="B32" s="3" t="n">
        <v>45414</v>
      </c>
      <c r="C32" s="2" t="inlineStr">
        <is>
          <t>CargoNorte</t>
        </is>
      </c>
      <c r="D32" s="2" t="inlineStr">
        <is>
          <t>Cali</t>
        </is>
      </c>
      <c r="E32" s="2" t="inlineStr">
        <is>
          <t>Cartagena</t>
        </is>
      </c>
      <c r="F32" s="2" t="n">
        <v>643</v>
      </c>
      <c r="G32" s="2" t="n">
        <v>13469</v>
      </c>
      <c r="H32" s="4" t="n">
        <v>534.91</v>
      </c>
      <c r="I32" s="2" t="inlineStr">
        <is>
          <t>En tránsito</t>
        </is>
      </c>
      <c r="J32" s="2" t="inlineStr">
        <is>
          <t>Carlos Ruiz</t>
        </is>
      </c>
      <c r="K32" s="2" t="inlineStr">
        <is>
          <t>CAM-004</t>
        </is>
      </c>
    </row>
    <row r="33">
      <c r="A33" s="5" t="inlineStr">
        <is>
          <t>ENV-0032</t>
        </is>
      </c>
      <c r="B33" s="6" t="n">
        <v>45610</v>
      </c>
      <c r="C33" s="5" t="inlineStr">
        <is>
          <t>TransSur</t>
        </is>
      </c>
      <c r="D33" s="5" t="inlineStr">
        <is>
          <t>Medellín</t>
        </is>
      </c>
      <c r="E33" s="5" t="inlineStr">
        <is>
          <t>Cúcuta</t>
        </is>
      </c>
      <c r="F33" s="5" t="n">
        <v>1253</v>
      </c>
      <c r="G33" s="5" t="n">
        <v>3776</v>
      </c>
      <c r="H33" s="7" t="n">
        <v>604.02</v>
      </c>
      <c r="I33" s="5" t="inlineStr">
        <is>
          <t>Entregado</t>
        </is>
      </c>
      <c r="J33" s="5" t="inlineStr">
        <is>
          <t>Carlos Ruiz</t>
        </is>
      </c>
      <c r="K33" s="5" t="inlineStr">
        <is>
          <t>CAM-002</t>
        </is>
      </c>
    </row>
    <row r="34">
      <c r="A34" s="2" t="inlineStr">
        <is>
          <t>ENV-0033</t>
        </is>
      </c>
      <c r="B34" s="3" t="n">
        <v>45481</v>
      </c>
      <c r="C34" s="2" t="inlineStr">
        <is>
          <t>TransSur</t>
        </is>
      </c>
      <c r="D34" s="2" t="inlineStr">
        <is>
          <t>Bucaramanga</t>
        </is>
      </c>
      <c r="E34" s="2" t="inlineStr">
        <is>
          <t>Manizales</t>
        </is>
      </c>
      <c r="F34" s="2" t="n">
        <v>683</v>
      </c>
      <c r="G34" s="2" t="n">
        <v>5669</v>
      </c>
      <c r="H34" s="4" t="n">
        <v>458.37</v>
      </c>
      <c r="I34" s="2" t="inlineStr">
        <is>
          <t>Entregado</t>
        </is>
      </c>
      <c r="J34" s="2" t="inlineStr">
        <is>
          <t>Carlos Ruiz</t>
        </is>
      </c>
      <c r="K34" s="2" t="inlineStr">
        <is>
          <t>CAM-005</t>
        </is>
      </c>
    </row>
    <row r="35">
      <c r="A35" s="5" t="inlineStr">
        <is>
          <t>ENV-0034</t>
        </is>
      </c>
      <c r="B35" s="6" t="n">
        <v>45445</v>
      </c>
      <c r="C35" s="5" t="inlineStr">
        <is>
          <t>LogiCargo SA</t>
        </is>
      </c>
      <c r="D35" s="5" t="inlineStr">
        <is>
          <t>Bogotá</t>
        </is>
      </c>
      <c r="E35" s="5" t="inlineStr">
        <is>
          <t>Manizales</t>
        </is>
      </c>
      <c r="F35" s="5" t="n">
        <v>1458</v>
      </c>
      <c r="G35" s="5" t="n">
        <v>3894</v>
      </c>
      <c r="H35" s="7" t="n">
        <v>871.77</v>
      </c>
      <c r="I35" s="5" t="inlineStr">
        <is>
          <t>Entregado</t>
        </is>
      </c>
      <c r="J35" s="5" t="inlineStr">
        <is>
          <t>Ana Martínez</t>
        </is>
      </c>
      <c r="K35" s="5" t="inlineStr">
        <is>
          <t>CAM-003</t>
        </is>
      </c>
    </row>
    <row r="36">
      <c r="A36" s="2" t="inlineStr">
        <is>
          <t>ENV-0035</t>
        </is>
      </c>
      <c r="B36" s="3" t="n">
        <v>45436</v>
      </c>
      <c r="C36" s="2" t="inlineStr">
        <is>
          <t>TransSur</t>
        </is>
      </c>
      <c r="D36" s="2" t="inlineStr">
        <is>
          <t>Bucaramanga</t>
        </is>
      </c>
      <c r="E36" s="2" t="inlineStr">
        <is>
          <t>Pereira</t>
        </is>
      </c>
      <c r="F36" s="2" t="n">
        <v>1338</v>
      </c>
      <c r="G36" s="2" t="n">
        <v>7401</v>
      </c>
      <c r="H36" s="4" t="n">
        <v>843.64</v>
      </c>
      <c r="I36" s="2" t="inlineStr">
        <is>
          <t>Entregado</t>
        </is>
      </c>
      <c r="J36" s="2" t="inlineStr">
        <is>
          <t>Pedro López</t>
        </is>
      </c>
      <c r="K36" s="2" t="inlineStr">
        <is>
          <t>CAM-001</t>
        </is>
      </c>
    </row>
    <row r="37">
      <c r="A37" s="5" t="inlineStr">
        <is>
          <t>ENV-0036</t>
        </is>
      </c>
      <c r="B37" s="6" t="n">
        <v>45339</v>
      </c>
      <c r="C37" s="5" t="inlineStr">
        <is>
          <t>TransSur</t>
        </is>
      </c>
      <c r="D37" s="5" t="inlineStr">
        <is>
          <t>Medellín</t>
        </is>
      </c>
      <c r="E37" s="5" t="inlineStr">
        <is>
          <t>Cúcuta</t>
        </is>
      </c>
      <c r="F37" s="5" t="n">
        <v>1399</v>
      </c>
      <c r="G37" s="5" t="n">
        <v>14379</v>
      </c>
      <c r="H37" s="7" t="n">
        <v>1033</v>
      </c>
      <c r="I37" s="5" t="inlineStr">
        <is>
          <t>Entregado</t>
        </is>
      </c>
      <c r="J37" s="5" t="inlineStr">
        <is>
          <t>Ana Martínez</t>
        </is>
      </c>
      <c r="K37" s="5" t="inlineStr">
        <is>
          <t>CAM-004</t>
        </is>
      </c>
    </row>
    <row r="38">
      <c r="A38" s="2" t="inlineStr">
        <is>
          <t>ENV-0037</t>
        </is>
      </c>
      <c r="B38" s="3" t="n">
        <v>45574</v>
      </c>
      <c r="C38" s="2" t="inlineStr">
        <is>
          <t>FreightMax</t>
        </is>
      </c>
      <c r="D38" s="2" t="inlineStr">
        <is>
          <t>Bucaramanga</t>
        </is>
      </c>
      <c r="E38" s="2" t="inlineStr">
        <is>
          <t>Cartagena</t>
        </is>
      </c>
      <c r="F38" s="2" t="n">
        <v>975</v>
      </c>
      <c r="G38" s="2" t="n">
        <v>18879</v>
      </c>
      <c r="H38" s="4" t="n">
        <v>768.26</v>
      </c>
      <c r="I38" s="2" t="inlineStr">
        <is>
          <t>Entregado</t>
        </is>
      </c>
      <c r="J38" s="2" t="inlineStr">
        <is>
          <t>Pedro López</t>
        </is>
      </c>
      <c r="K38" s="2" t="inlineStr">
        <is>
          <t>CAM-005</t>
        </is>
      </c>
    </row>
    <row r="39">
      <c r="A39" s="5" t="inlineStr">
        <is>
          <t>ENV-0038</t>
        </is>
      </c>
      <c r="B39" s="6" t="n">
        <v>45574</v>
      </c>
      <c r="C39" s="5" t="inlineStr">
        <is>
          <t>LogiCargo SA</t>
        </is>
      </c>
      <c r="D39" s="5" t="inlineStr">
        <is>
          <t>Cali</t>
        </is>
      </c>
      <c r="E39" s="5" t="inlineStr">
        <is>
          <t>Santa Marta</t>
        </is>
      </c>
      <c r="F39" s="5" t="n">
        <v>403</v>
      </c>
      <c r="G39" s="5" t="n">
        <v>14583</v>
      </c>
      <c r="H39" s="7" t="n">
        <v>448.5</v>
      </c>
      <c r="I39" s="5" t="inlineStr">
        <is>
          <t>Entregado</t>
        </is>
      </c>
      <c r="J39" s="5" t="inlineStr">
        <is>
          <t>Ana Martínez</t>
        </is>
      </c>
      <c r="K39" s="5" t="inlineStr">
        <is>
          <t>CAM-001</t>
        </is>
      </c>
    </row>
    <row r="40">
      <c r="A40" s="2" t="inlineStr">
        <is>
          <t>ENV-0039</t>
        </is>
      </c>
      <c r="B40" s="3" t="n">
        <v>45473</v>
      </c>
      <c r="C40" s="2" t="inlineStr">
        <is>
          <t>FreightMax</t>
        </is>
      </c>
      <c r="D40" s="2" t="inlineStr">
        <is>
          <t>Medellín</t>
        </is>
      </c>
      <c r="E40" s="2" t="inlineStr">
        <is>
          <t>Santa Marta</t>
        </is>
      </c>
      <c r="F40" s="2" t="n">
        <v>1246</v>
      </c>
      <c r="G40" s="2" t="n">
        <v>13816</v>
      </c>
      <c r="H40" s="4" t="n">
        <v>981.79</v>
      </c>
      <c r="I40" s="2" t="inlineStr">
        <is>
          <t>En tránsito</t>
        </is>
      </c>
      <c r="J40" s="2" t="inlineStr">
        <is>
          <t>Laura Torres</t>
        </is>
      </c>
      <c r="K40" s="2" t="inlineStr">
        <is>
          <t>CAM-001</t>
        </is>
      </c>
    </row>
    <row r="41">
      <c r="A41" s="5" t="inlineStr">
        <is>
          <t>ENV-0040</t>
        </is>
      </c>
      <c r="B41" s="6" t="n">
        <v>45383</v>
      </c>
      <c r="C41" s="5" t="inlineStr">
        <is>
          <t>FreightMax</t>
        </is>
      </c>
      <c r="D41" s="5" t="inlineStr">
        <is>
          <t>Cali</t>
        </is>
      </c>
      <c r="E41" s="5" t="inlineStr">
        <is>
          <t>Santa Marta</t>
        </is>
      </c>
      <c r="F41" s="5" t="n">
        <v>780</v>
      </c>
      <c r="G41" s="5" t="n">
        <v>13991</v>
      </c>
      <c r="H41" s="7" t="n">
        <v>741.27</v>
      </c>
      <c r="I41" s="5" t="inlineStr">
        <is>
          <t>Retrasado</t>
        </is>
      </c>
      <c r="J41" s="5" t="inlineStr">
        <is>
          <t>Carlos Ruiz</t>
        </is>
      </c>
      <c r="K41" s="5" t="inlineStr">
        <is>
          <t>CAM-004</t>
        </is>
      </c>
    </row>
    <row r="42">
      <c r="A42" s="2" t="inlineStr">
        <is>
          <t>ENV-0041</t>
        </is>
      </c>
      <c r="B42" s="3" t="n">
        <v>45311</v>
      </c>
      <c r="C42" s="2" t="inlineStr">
        <is>
          <t>TransSur</t>
        </is>
      </c>
      <c r="D42" s="2" t="inlineStr">
        <is>
          <t>Cali</t>
        </is>
      </c>
      <c r="E42" s="2" t="inlineStr">
        <is>
          <t>Santa Marta</t>
        </is>
      </c>
      <c r="F42" s="2" t="n">
        <v>1063</v>
      </c>
      <c r="G42" s="2" t="n">
        <v>7788</v>
      </c>
      <c r="H42" s="4" t="n">
        <v>624.02</v>
      </c>
      <c r="I42" s="2" t="inlineStr">
        <is>
          <t>Retrasado</t>
        </is>
      </c>
      <c r="J42" s="2" t="inlineStr">
        <is>
          <t>Ana Martínez</t>
        </is>
      </c>
      <c r="K42" s="2" t="inlineStr">
        <is>
          <t>CAM-001</t>
        </is>
      </c>
    </row>
    <row r="43">
      <c r="A43" s="5" t="inlineStr">
        <is>
          <t>ENV-0042</t>
        </is>
      </c>
      <c r="B43" s="6" t="n">
        <v>45629</v>
      </c>
      <c r="C43" s="5" t="inlineStr">
        <is>
          <t>TransSur</t>
        </is>
      </c>
      <c r="D43" s="5" t="inlineStr">
        <is>
          <t>Cali</t>
        </is>
      </c>
      <c r="E43" s="5" t="inlineStr">
        <is>
          <t>Manizales</t>
        </is>
      </c>
      <c r="F43" s="5" t="n">
        <v>495</v>
      </c>
      <c r="G43" s="5" t="n">
        <v>13556</v>
      </c>
      <c r="H43" s="7" t="n">
        <v>509.52</v>
      </c>
      <c r="I43" s="5" t="inlineStr">
        <is>
          <t>Retrasado</t>
        </is>
      </c>
      <c r="J43" s="5" t="inlineStr">
        <is>
          <t>Laura Torres</t>
        </is>
      </c>
      <c r="K43" s="5" t="inlineStr">
        <is>
          <t>CAM-005</t>
        </is>
      </c>
    </row>
    <row r="44">
      <c r="A44" s="2" t="inlineStr">
        <is>
          <t>ENV-0043</t>
        </is>
      </c>
      <c r="B44" s="3" t="n">
        <v>45461</v>
      </c>
      <c r="C44" s="2" t="inlineStr">
        <is>
          <t>ExpressLoad</t>
        </is>
      </c>
      <c r="D44" s="2" t="inlineStr">
        <is>
          <t>Cali</t>
        </is>
      </c>
      <c r="E44" s="2" t="inlineStr">
        <is>
          <t>Cartagena</t>
        </is>
      </c>
      <c r="F44" s="2" t="n">
        <v>156</v>
      </c>
      <c r="G44" s="2" t="n">
        <v>4279</v>
      </c>
      <c r="H44" s="4" t="n">
        <v>281.19</v>
      </c>
      <c r="I44" s="2" t="inlineStr">
        <is>
          <t>Entregado</t>
        </is>
      </c>
      <c r="J44" s="2" t="inlineStr">
        <is>
          <t>Carlos Ruiz</t>
        </is>
      </c>
      <c r="K44" s="2" t="inlineStr">
        <is>
          <t>CAM-005</t>
        </is>
      </c>
    </row>
    <row r="45">
      <c r="A45" s="5" t="inlineStr">
        <is>
          <t>ENV-0044</t>
        </is>
      </c>
      <c r="B45" s="6" t="n">
        <v>45514</v>
      </c>
      <c r="C45" s="5" t="inlineStr">
        <is>
          <t>LogiCargo SA</t>
        </is>
      </c>
      <c r="D45" s="5" t="inlineStr">
        <is>
          <t>Barranquilla</t>
        </is>
      </c>
      <c r="E45" s="5" t="inlineStr">
        <is>
          <t>Manizales</t>
        </is>
      </c>
      <c r="F45" s="5" t="n">
        <v>807</v>
      </c>
      <c r="G45" s="5" t="n">
        <v>10778</v>
      </c>
      <c r="H45" s="7" t="n">
        <v>615.99</v>
      </c>
      <c r="I45" s="5" t="inlineStr">
        <is>
          <t>Cancelado</t>
        </is>
      </c>
      <c r="J45" s="5" t="inlineStr">
        <is>
          <t>Ana Martínez</t>
        </is>
      </c>
      <c r="K45" s="5" t="inlineStr">
        <is>
          <t>CAM-003</t>
        </is>
      </c>
    </row>
    <row r="46">
      <c r="A46" s="2" t="inlineStr">
        <is>
          <t>ENV-0045</t>
        </is>
      </c>
      <c r="B46" s="3" t="n">
        <v>45314</v>
      </c>
      <c r="C46" s="2" t="inlineStr">
        <is>
          <t>FreightMax</t>
        </is>
      </c>
      <c r="D46" s="2" t="inlineStr">
        <is>
          <t>Cali</t>
        </is>
      </c>
      <c r="E46" s="2" t="inlineStr">
        <is>
          <t>Pereira</t>
        </is>
      </c>
      <c r="F46" s="2" t="n">
        <v>993</v>
      </c>
      <c r="G46" s="2" t="n">
        <v>555</v>
      </c>
      <c r="H46" s="4" t="n">
        <v>511.93</v>
      </c>
      <c r="I46" s="2" t="inlineStr">
        <is>
          <t>En tránsito</t>
        </is>
      </c>
      <c r="J46" s="2" t="inlineStr">
        <is>
          <t>Carlos Ruiz</t>
        </is>
      </c>
      <c r="K46" s="2" t="inlineStr">
        <is>
          <t>CAM-003</t>
        </is>
      </c>
    </row>
    <row r="47">
      <c r="A47" s="5" t="inlineStr">
        <is>
          <t>ENV-0046</t>
        </is>
      </c>
      <c r="B47" s="6" t="n">
        <v>45611</v>
      </c>
      <c r="C47" s="5" t="inlineStr">
        <is>
          <t>TransSur</t>
        </is>
      </c>
      <c r="D47" s="5" t="inlineStr">
        <is>
          <t>Barranquilla</t>
        </is>
      </c>
      <c r="E47" s="5" t="inlineStr">
        <is>
          <t>Cúcuta</t>
        </is>
      </c>
      <c r="F47" s="5" t="n">
        <v>742</v>
      </c>
      <c r="G47" s="5" t="n">
        <v>4583</v>
      </c>
      <c r="H47" s="7" t="n">
        <v>519.51</v>
      </c>
      <c r="I47" s="5" t="inlineStr">
        <is>
          <t>Entregado</t>
        </is>
      </c>
      <c r="J47" s="5" t="inlineStr">
        <is>
          <t>Laura Torres</t>
        </is>
      </c>
      <c r="K47" s="5" t="inlineStr">
        <is>
          <t>CAM-003</t>
        </is>
      </c>
    </row>
    <row r="48">
      <c r="A48" s="2" t="inlineStr">
        <is>
          <t>ENV-0047</t>
        </is>
      </c>
      <c r="B48" s="3" t="n">
        <v>45575</v>
      </c>
      <c r="C48" s="2" t="inlineStr">
        <is>
          <t>FreightMax</t>
        </is>
      </c>
      <c r="D48" s="2" t="inlineStr">
        <is>
          <t>Bucaramanga</t>
        </is>
      </c>
      <c r="E48" s="2" t="inlineStr">
        <is>
          <t>Manizales</t>
        </is>
      </c>
      <c r="F48" s="2" t="n">
        <v>360</v>
      </c>
      <c r="G48" s="2" t="n">
        <v>6786</v>
      </c>
      <c r="H48" s="4" t="n">
        <v>331.81</v>
      </c>
      <c r="I48" s="2" t="inlineStr">
        <is>
          <t>Retrasado</t>
        </is>
      </c>
      <c r="J48" s="2" t="inlineStr">
        <is>
          <t>Pedro López</t>
        </is>
      </c>
      <c r="K48" s="2" t="inlineStr">
        <is>
          <t>CAM-004</t>
        </is>
      </c>
    </row>
    <row r="49">
      <c r="A49" s="5" t="inlineStr">
        <is>
          <t>ENV-0048</t>
        </is>
      </c>
      <c r="B49" s="6" t="n">
        <v>45572</v>
      </c>
      <c r="C49" s="5" t="inlineStr">
        <is>
          <t>ExpressLoad</t>
        </is>
      </c>
      <c r="D49" s="5" t="inlineStr">
        <is>
          <t>Bucaramanga</t>
        </is>
      </c>
      <c r="E49" s="5" t="inlineStr">
        <is>
          <t>Cúcuta</t>
        </is>
      </c>
      <c r="F49" s="5" t="n">
        <v>100</v>
      </c>
      <c r="G49" s="5" t="n">
        <v>10457</v>
      </c>
      <c r="H49" s="7" t="n">
        <v>261.52</v>
      </c>
      <c r="I49" s="5" t="inlineStr">
        <is>
          <t>Entregado</t>
        </is>
      </c>
      <c r="J49" s="5" t="inlineStr">
        <is>
          <t>Laura Torres</t>
        </is>
      </c>
      <c r="K49" s="5" t="inlineStr">
        <is>
          <t>CAM-004</t>
        </is>
      </c>
    </row>
    <row r="50">
      <c r="A50" s="2" t="inlineStr">
        <is>
          <t>ENV-0049</t>
        </is>
      </c>
      <c r="B50" s="3" t="n">
        <v>45518</v>
      </c>
      <c r="C50" s="2" t="inlineStr">
        <is>
          <t>FreightMax</t>
        </is>
      </c>
      <c r="D50" s="2" t="inlineStr">
        <is>
          <t>Bogotá</t>
        </is>
      </c>
      <c r="E50" s="2" t="inlineStr">
        <is>
          <t>Cúcuta</t>
        </is>
      </c>
      <c r="F50" s="2" t="n">
        <v>1483</v>
      </c>
      <c r="G50" s="2" t="n">
        <v>7502</v>
      </c>
      <c r="H50" s="4" t="n">
        <v>869.62</v>
      </c>
      <c r="I50" s="2" t="inlineStr">
        <is>
          <t>En tránsito</t>
        </is>
      </c>
      <c r="J50" s="2" t="inlineStr">
        <is>
          <t>Miguel Ríos</t>
        </is>
      </c>
      <c r="K50" s="2" t="inlineStr">
        <is>
          <t>CAM-005</t>
        </is>
      </c>
    </row>
    <row r="51">
      <c r="A51" s="5" t="inlineStr">
        <is>
          <t>ENV-0050</t>
        </is>
      </c>
      <c r="B51" s="6" t="n">
        <v>45463</v>
      </c>
      <c r="C51" s="5" t="inlineStr">
        <is>
          <t>FreightMax</t>
        </is>
      </c>
      <c r="D51" s="5" t="inlineStr">
        <is>
          <t>Medellín</t>
        </is>
      </c>
      <c r="E51" s="5" t="inlineStr">
        <is>
          <t>Cartagena</t>
        </is>
      </c>
      <c r="F51" s="5" t="n">
        <v>291</v>
      </c>
      <c r="G51" s="5" t="n">
        <v>8196</v>
      </c>
      <c r="H51" s="7" t="n">
        <v>379.43</v>
      </c>
      <c r="I51" s="5" t="inlineStr">
        <is>
          <t>Entregado</t>
        </is>
      </c>
      <c r="J51" s="5" t="inlineStr">
        <is>
          <t>Carlos Ruiz</t>
        </is>
      </c>
      <c r="K51" s="5" t="inlineStr">
        <is>
          <t>CAM-002</t>
        </is>
      </c>
    </row>
    <row r="52">
      <c r="A52" s="2" t="inlineStr">
        <is>
          <t>ENV-0051</t>
        </is>
      </c>
      <c r="B52" s="3" t="n">
        <v>45535</v>
      </c>
      <c r="C52" s="2" t="inlineStr">
        <is>
          <t>ExpressLoad</t>
        </is>
      </c>
      <c r="D52" s="2" t="inlineStr">
        <is>
          <t>Medellín</t>
        </is>
      </c>
      <c r="E52" s="2" t="inlineStr">
        <is>
          <t>Pereira</t>
        </is>
      </c>
      <c r="F52" s="2" t="n">
        <v>1351</v>
      </c>
      <c r="G52" s="2" t="n">
        <v>2886</v>
      </c>
      <c r="H52" s="4" t="n">
        <v>706.75</v>
      </c>
      <c r="I52" s="2" t="inlineStr">
        <is>
          <t>Retrasado</t>
        </is>
      </c>
      <c r="J52" s="2" t="inlineStr">
        <is>
          <t>Laura Torres</t>
        </is>
      </c>
      <c r="K52" s="2" t="inlineStr">
        <is>
          <t>CAM-004</t>
        </is>
      </c>
    </row>
    <row r="53">
      <c r="A53" s="5" t="inlineStr">
        <is>
          <t>ENV-0052</t>
        </is>
      </c>
      <c r="B53" s="6" t="n">
        <v>45416</v>
      </c>
      <c r="C53" s="5" t="inlineStr">
        <is>
          <t>LogiCargo SA</t>
        </is>
      </c>
      <c r="D53" s="5" t="inlineStr">
        <is>
          <t>Barranquilla</t>
        </is>
      </c>
      <c r="E53" s="5" t="inlineStr">
        <is>
          <t>Santa Marta</t>
        </is>
      </c>
      <c r="F53" s="5" t="n">
        <v>402</v>
      </c>
      <c r="G53" s="5" t="n">
        <v>681</v>
      </c>
      <c r="H53" s="7" t="n">
        <v>323.05</v>
      </c>
      <c r="I53" s="5" t="inlineStr">
        <is>
          <t>Retrasado</t>
        </is>
      </c>
      <c r="J53" s="5" t="inlineStr">
        <is>
          <t>Ana Martínez</t>
        </is>
      </c>
      <c r="K53" s="5" t="inlineStr">
        <is>
          <t>CAM-005</t>
        </is>
      </c>
    </row>
    <row r="54">
      <c r="A54" s="2" t="inlineStr">
        <is>
          <t>ENV-0053</t>
        </is>
      </c>
      <c r="B54" s="3" t="n">
        <v>45529</v>
      </c>
      <c r="C54" s="2" t="inlineStr">
        <is>
          <t>CargoNorte</t>
        </is>
      </c>
      <c r="D54" s="2" t="inlineStr">
        <is>
          <t>Medellín</t>
        </is>
      </c>
      <c r="E54" s="2" t="inlineStr">
        <is>
          <t>Pereira</t>
        </is>
      </c>
      <c r="F54" s="2" t="n">
        <v>202</v>
      </c>
      <c r="G54" s="2" t="n">
        <v>18765</v>
      </c>
      <c r="H54" s="4" t="n">
        <v>466.04</v>
      </c>
      <c r="I54" s="2" t="inlineStr">
        <is>
          <t>En tránsito</t>
        </is>
      </c>
      <c r="J54" s="2" t="inlineStr">
        <is>
          <t>Miguel Ríos</t>
        </is>
      </c>
      <c r="K54" s="2" t="inlineStr">
        <is>
          <t>CAM-005</t>
        </is>
      </c>
    </row>
    <row r="55">
      <c r="A55" s="5" t="inlineStr">
        <is>
          <t>ENV-0054</t>
        </is>
      </c>
      <c r="B55" s="6" t="n">
        <v>45596</v>
      </c>
      <c r="C55" s="5" t="inlineStr">
        <is>
          <t>ExpressLoad</t>
        </is>
      </c>
      <c r="D55" s="5" t="inlineStr">
        <is>
          <t>Barranquilla</t>
        </is>
      </c>
      <c r="E55" s="5" t="inlineStr">
        <is>
          <t>Manizales</t>
        </is>
      </c>
      <c r="F55" s="5" t="n">
        <v>749</v>
      </c>
      <c r="G55" s="5" t="n">
        <v>15002</v>
      </c>
      <c r="H55" s="7" t="n">
        <v>709.62</v>
      </c>
      <c r="I55" s="5" t="inlineStr">
        <is>
          <t>En tránsito</t>
        </is>
      </c>
      <c r="J55" s="5" t="inlineStr">
        <is>
          <t>Laura Torres</t>
        </is>
      </c>
      <c r="K55" s="5" t="inlineStr">
        <is>
          <t>CAM-002</t>
        </is>
      </c>
    </row>
    <row r="56">
      <c r="A56" s="2" t="inlineStr">
        <is>
          <t>ENV-0055</t>
        </is>
      </c>
      <c r="B56" s="3" t="n">
        <v>45535</v>
      </c>
      <c r="C56" s="2" t="inlineStr">
        <is>
          <t>TransSur</t>
        </is>
      </c>
      <c r="D56" s="2" t="inlineStr">
        <is>
          <t>Bucaramanga</t>
        </is>
      </c>
      <c r="E56" s="2" t="inlineStr">
        <is>
          <t>Pereira</t>
        </is>
      </c>
      <c r="F56" s="2" t="n">
        <v>1021</v>
      </c>
      <c r="G56" s="2" t="n">
        <v>8993</v>
      </c>
      <c r="H56" s="4" t="n">
        <v>739.67</v>
      </c>
      <c r="I56" s="2" t="inlineStr">
        <is>
          <t>En tránsito</t>
        </is>
      </c>
      <c r="J56" s="2" t="inlineStr">
        <is>
          <t>Ana Martínez</t>
        </is>
      </c>
      <c r="K56" s="2" t="inlineStr">
        <is>
          <t>CAM-003</t>
        </is>
      </c>
    </row>
    <row r="57">
      <c r="A57" s="5" t="inlineStr">
        <is>
          <t>ENV-0056</t>
        </is>
      </c>
      <c r="B57" s="6" t="n">
        <v>45517</v>
      </c>
      <c r="C57" s="5" t="inlineStr">
        <is>
          <t>ExpressLoad</t>
        </is>
      </c>
      <c r="D57" s="5" t="inlineStr">
        <is>
          <t>Bogotá</t>
        </is>
      </c>
      <c r="E57" s="5" t="inlineStr">
        <is>
          <t>Santa Marta</t>
        </is>
      </c>
      <c r="F57" s="5" t="n">
        <v>258</v>
      </c>
      <c r="G57" s="5" t="n">
        <v>9862</v>
      </c>
      <c r="H57" s="7" t="n">
        <v>310.24</v>
      </c>
      <c r="I57" s="5" t="inlineStr">
        <is>
          <t>Entregado</t>
        </is>
      </c>
      <c r="J57" s="5" t="inlineStr">
        <is>
          <t>Ana Martínez</t>
        </is>
      </c>
      <c r="K57" s="5" t="inlineStr">
        <is>
          <t>CAM-002</t>
        </is>
      </c>
    </row>
    <row r="58">
      <c r="A58" s="2" t="inlineStr">
        <is>
          <t>ENV-0057</t>
        </is>
      </c>
      <c r="B58" s="3" t="n">
        <v>45488</v>
      </c>
      <c r="C58" s="2" t="inlineStr">
        <is>
          <t>ExpressLoad</t>
        </is>
      </c>
      <c r="D58" s="2" t="inlineStr">
        <is>
          <t>Barranquilla</t>
        </is>
      </c>
      <c r="E58" s="2" t="inlineStr">
        <is>
          <t>Pereira</t>
        </is>
      </c>
      <c r="F58" s="2" t="n">
        <v>412</v>
      </c>
      <c r="G58" s="2" t="n">
        <v>7510</v>
      </c>
      <c r="H58" s="4" t="n">
        <v>298.45</v>
      </c>
      <c r="I58" s="2" t="inlineStr">
        <is>
          <t>Entregado</t>
        </is>
      </c>
      <c r="J58" s="2" t="inlineStr">
        <is>
          <t>Carlos Ruiz</t>
        </is>
      </c>
      <c r="K58" s="2" t="inlineStr">
        <is>
          <t>CAM-002</t>
        </is>
      </c>
    </row>
    <row r="59">
      <c r="A59" s="5" t="inlineStr">
        <is>
          <t>ENV-0058</t>
        </is>
      </c>
      <c r="B59" s="6" t="n">
        <v>45507</v>
      </c>
      <c r="C59" s="5" t="inlineStr">
        <is>
          <t>ExpressLoad</t>
        </is>
      </c>
      <c r="D59" s="5" t="inlineStr">
        <is>
          <t>Barranquilla</t>
        </is>
      </c>
      <c r="E59" s="5" t="inlineStr">
        <is>
          <t>Pereira</t>
        </is>
      </c>
      <c r="F59" s="5" t="n">
        <v>897</v>
      </c>
      <c r="G59" s="5" t="n">
        <v>19639</v>
      </c>
      <c r="H59" s="7" t="n">
        <v>935.64</v>
      </c>
      <c r="I59" s="5" t="inlineStr">
        <is>
          <t>Entregado</t>
        </is>
      </c>
      <c r="J59" s="5" t="inlineStr">
        <is>
          <t>Carlos Ruiz</t>
        </is>
      </c>
      <c r="K59" s="5" t="inlineStr">
        <is>
          <t>CAM-003</t>
        </is>
      </c>
    </row>
    <row r="60">
      <c r="A60" s="2" t="inlineStr">
        <is>
          <t>ENV-0059</t>
        </is>
      </c>
      <c r="B60" s="3" t="n">
        <v>45444</v>
      </c>
      <c r="C60" s="2" t="inlineStr">
        <is>
          <t>ExpressLoad</t>
        </is>
      </c>
      <c r="D60" s="2" t="inlineStr">
        <is>
          <t>Medellín</t>
        </is>
      </c>
      <c r="E60" s="2" t="inlineStr">
        <is>
          <t>Pereira</t>
        </is>
      </c>
      <c r="F60" s="2" t="n">
        <v>898</v>
      </c>
      <c r="G60" s="2" t="n">
        <v>14230</v>
      </c>
      <c r="H60" s="4" t="n">
        <v>746.34</v>
      </c>
      <c r="I60" s="2" t="inlineStr">
        <is>
          <t>En tránsito</t>
        </is>
      </c>
      <c r="J60" s="2" t="inlineStr">
        <is>
          <t>Ana Martínez</t>
        </is>
      </c>
      <c r="K60" s="2" t="inlineStr">
        <is>
          <t>CAM-003</t>
        </is>
      </c>
    </row>
    <row r="61">
      <c r="A61" s="5" t="inlineStr">
        <is>
          <t>ENV-0060</t>
        </is>
      </c>
      <c r="B61" s="6" t="n">
        <v>45515</v>
      </c>
      <c r="C61" s="5" t="inlineStr">
        <is>
          <t>CargoNorte</t>
        </is>
      </c>
      <c r="D61" s="5" t="inlineStr">
        <is>
          <t>Medellín</t>
        </is>
      </c>
      <c r="E61" s="5" t="inlineStr">
        <is>
          <t>Pereira</t>
        </is>
      </c>
      <c r="F61" s="5" t="n">
        <v>1094</v>
      </c>
      <c r="G61" s="5" t="n">
        <v>1451</v>
      </c>
      <c r="H61" s="7" t="n">
        <v>549.09</v>
      </c>
      <c r="I61" s="5" t="inlineStr">
        <is>
          <t>En tránsito</t>
        </is>
      </c>
      <c r="J61" s="5" t="inlineStr">
        <is>
          <t>Ana Martínez</t>
        </is>
      </c>
      <c r="K61" s="5" t="inlineStr">
        <is>
          <t>CAM-005</t>
        </is>
      </c>
    </row>
    <row r="62">
      <c r="A62" s="2" t="inlineStr">
        <is>
          <t>ENV-0061</t>
        </is>
      </c>
      <c r="B62" s="3" t="n">
        <v>45565</v>
      </c>
      <c r="C62" s="2" t="inlineStr">
        <is>
          <t>LogiCargo SA</t>
        </is>
      </c>
      <c r="D62" s="2" t="inlineStr">
        <is>
          <t>Barranquilla</t>
        </is>
      </c>
      <c r="E62" s="2" t="inlineStr">
        <is>
          <t>Santa Marta</t>
        </is>
      </c>
      <c r="F62" s="2" t="n">
        <v>155</v>
      </c>
      <c r="G62" s="2" t="n">
        <v>13411</v>
      </c>
      <c r="H62" s="4" t="n">
        <v>406.35</v>
      </c>
      <c r="I62" s="2" t="inlineStr">
        <is>
          <t>En tránsito</t>
        </is>
      </c>
      <c r="J62" s="2" t="inlineStr">
        <is>
          <t>Laura Torres</t>
        </is>
      </c>
      <c r="K62" s="2" t="inlineStr">
        <is>
          <t>CAM-002</t>
        </is>
      </c>
    </row>
    <row r="63">
      <c r="A63" s="5" t="inlineStr">
        <is>
          <t>ENV-0062</t>
        </is>
      </c>
      <c r="B63" s="6" t="n">
        <v>45317</v>
      </c>
      <c r="C63" s="5" t="inlineStr">
        <is>
          <t>TransSur</t>
        </is>
      </c>
      <c r="D63" s="5" t="inlineStr">
        <is>
          <t>Barranquilla</t>
        </is>
      </c>
      <c r="E63" s="5" t="inlineStr">
        <is>
          <t>Cúcuta</t>
        </is>
      </c>
      <c r="F63" s="5" t="n">
        <v>632</v>
      </c>
      <c r="G63" s="5" t="n">
        <v>12922</v>
      </c>
      <c r="H63" s="7" t="n">
        <v>558.3099999999999</v>
      </c>
      <c r="I63" s="5" t="inlineStr">
        <is>
          <t>Entregado</t>
        </is>
      </c>
      <c r="J63" s="5" t="inlineStr">
        <is>
          <t>Laura Torres</t>
        </is>
      </c>
      <c r="K63" s="5" t="inlineStr">
        <is>
          <t>CAM-003</t>
        </is>
      </c>
    </row>
    <row r="64">
      <c r="A64" s="2" t="inlineStr">
        <is>
          <t>ENV-0063</t>
        </is>
      </c>
      <c r="B64" s="3" t="n">
        <v>45333</v>
      </c>
      <c r="C64" s="2" t="inlineStr">
        <is>
          <t>TransSur</t>
        </is>
      </c>
      <c r="D64" s="2" t="inlineStr">
        <is>
          <t>Medellín</t>
        </is>
      </c>
      <c r="E64" s="2" t="inlineStr">
        <is>
          <t>Cartagena</t>
        </is>
      </c>
      <c r="F64" s="2" t="n">
        <v>1063</v>
      </c>
      <c r="G64" s="2" t="n">
        <v>1135</v>
      </c>
      <c r="H64" s="4" t="n">
        <v>600.85</v>
      </c>
      <c r="I64" s="2" t="inlineStr">
        <is>
          <t>Entregado</t>
        </is>
      </c>
      <c r="J64" s="2" t="inlineStr">
        <is>
          <t>Carlos Ruiz</t>
        </is>
      </c>
      <c r="K64" s="2" t="inlineStr">
        <is>
          <t>CAM-001</t>
        </is>
      </c>
    </row>
    <row r="65">
      <c r="A65" s="5" t="inlineStr">
        <is>
          <t>ENV-0064</t>
        </is>
      </c>
      <c r="B65" s="6" t="n">
        <v>45418</v>
      </c>
      <c r="C65" s="5" t="inlineStr">
        <is>
          <t>CargoNorte</t>
        </is>
      </c>
      <c r="D65" s="5" t="inlineStr">
        <is>
          <t>Bogotá</t>
        </is>
      </c>
      <c r="E65" s="5" t="inlineStr">
        <is>
          <t>Manizales</t>
        </is>
      </c>
      <c r="F65" s="5" t="n">
        <v>508</v>
      </c>
      <c r="G65" s="5" t="n">
        <v>1167</v>
      </c>
      <c r="H65" s="7" t="n">
        <v>326.21</v>
      </c>
      <c r="I65" s="5" t="inlineStr">
        <is>
          <t>Entregado</t>
        </is>
      </c>
      <c r="J65" s="5" t="inlineStr">
        <is>
          <t>Ana Martínez</t>
        </is>
      </c>
      <c r="K65" s="5" t="inlineStr">
        <is>
          <t>CAM-004</t>
        </is>
      </c>
    </row>
    <row r="66">
      <c r="A66" s="2" t="inlineStr">
        <is>
          <t>ENV-0065</t>
        </is>
      </c>
      <c r="B66" s="3" t="n">
        <v>45650</v>
      </c>
      <c r="C66" s="2" t="inlineStr">
        <is>
          <t>LogiCargo SA</t>
        </is>
      </c>
      <c r="D66" s="2" t="inlineStr">
        <is>
          <t>Medellín</t>
        </is>
      </c>
      <c r="E66" s="2" t="inlineStr">
        <is>
          <t>Cúcuta</t>
        </is>
      </c>
      <c r="F66" s="2" t="n">
        <v>624</v>
      </c>
      <c r="G66" s="2" t="n">
        <v>12587</v>
      </c>
      <c r="H66" s="4" t="n">
        <v>516.1</v>
      </c>
      <c r="I66" s="2" t="inlineStr">
        <is>
          <t>En tránsito</t>
        </is>
      </c>
      <c r="J66" s="2" t="inlineStr">
        <is>
          <t>Carlos Ruiz</t>
        </is>
      </c>
      <c r="K66" s="2" t="inlineStr">
        <is>
          <t>CAM-005</t>
        </is>
      </c>
    </row>
    <row r="67">
      <c r="A67" s="5" t="inlineStr">
        <is>
          <t>ENV-0066</t>
        </is>
      </c>
      <c r="B67" s="6" t="n">
        <v>45305</v>
      </c>
      <c r="C67" s="5" t="inlineStr">
        <is>
          <t>CargoNorte</t>
        </is>
      </c>
      <c r="D67" s="5" t="inlineStr">
        <is>
          <t>Medellín</t>
        </is>
      </c>
      <c r="E67" s="5" t="inlineStr">
        <is>
          <t>Cartagena</t>
        </is>
      </c>
      <c r="F67" s="5" t="n">
        <v>738</v>
      </c>
      <c r="G67" s="5" t="n">
        <v>19367</v>
      </c>
      <c r="H67" s="7" t="n">
        <v>804.91</v>
      </c>
      <c r="I67" s="5" t="inlineStr">
        <is>
          <t>Cancelado</t>
        </is>
      </c>
      <c r="J67" s="5" t="inlineStr">
        <is>
          <t>Miguel Ríos</t>
        </is>
      </c>
      <c r="K67" s="5" t="inlineStr">
        <is>
          <t>CAM-002</t>
        </is>
      </c>
    </row>
    <row r="68">
      <c r="A68" s="2" t="inlineStr">
        <is>
          <t>ENV-0067</t>
        </is>
      </c>
      <c r="B68" s="3" t="n">
        <v>45344</v>
      </c>
      <c r="C68" s="2" t="inlineStr">
        <is>
          <t>LogiCargo SA</t>
        </is>
      </c>
      <c r="D68" s="2" t="inlineStr">
        <is>
          <t>Cali</t>
        </is>
      </c>
      <c r="E68" s="2" t="inlineStr">
        <is>
          <t>Manizales</t>
        </is>
      </c>
      <c r="F68" s="2" t="n">
        <v>717</v>
      </c>
      <c r="G68" s="2" t="n">
        <v>4466</v>
      </c>
      <c r="H68" s="4" t="n">
        <v>521.22</v>
      </c>
      <c r="I68" s="2" t="inlineStr">
        <is>
          <t>Entregado</t>
        </is>
      </c>
      <c r="J68" s="2" t="inlineStr">
        <is>
          <t>Laura Torres</t>
        </is>
      </c>
      <c r="K68" s="2" t="inlineStr">
        <is>
          <t>CAM-003</t>
        </is>
      </c>
    </row>
    <row r="69">
      <c r="A69" s="5" t="inlineStr">
        <is>
          <t>ENV-0068</t>
        </is>
      </c>
      <c r="B69" s="6" t="n">
        <v>45327</v>
      </c>
      <c r="C69" s="5" t="inlineStr">
        <is>
          <t>CargoNorte</t>
        </is>
      </c>
      <c r="D69" s="5" t="inlineStr">
        <is>
          <t>Bogotá</t>
        </is>
      </c>
      <c r="E69" s="5" t="inlineStr">
        <is>
          <t>Pereira</t>
        </is>
      </c>
      <c r="F69" s="5" t="n">
        <v>1136</v>
      </c>
      <c r="G69" s="5" t="n">
        <v>11681</v>
      </c>
      <c r="H69" s="7" t="n">
        <v>697.35</v>
      </c>
      <c r="I69" s="5" t="inlineStr">
        <is>
          <t>Entregado</t>
        </is>
      </c>
      <c r="J69" s="5" t="inlineStr">
        <is>
          <t>Pedro López</t>
        </is>
      </c>
      <c r="K69" s="5" t="inlineStr">
        <is>
          <t>CAM-004</t>
        </is>
      </c>
    </row>
    <row r="70">
      <c r="A70" s="2" t="inlineStr">
        <is>
          <t>ENV-0069</t>
        </is>
      </c>
      <c r="B70" s="3" t="n">
        <v>45654</v>
      </c>
      <c r="C70" s="2" t="inlineStr">
        <is>
          <t>TransSur</t>
        </is>
      </c>
      <c r="D70" s="2" t="inlineStr">
        <is>
          <t>Bucaramanga</t>
        </is>
      </c>
      <c r="E70" s="2" t="inlineStr">
        <is>
          <t>Manizales</t>
        </is>
      </c>
      <c r="F70" s="2" t="n">
        <v>413</v>
      </c>
      <c r="G70" s="2" t="n">
        <v>14770</v>
      </c>
      <c r="H70" s="4" t="n">
        <v>466.48</v>
      </c>
      <c r="I70" s="2" t="inlineStr">
        <is>
          <t>Entregado</t>
        </is>
      </c>
      <c r="J70" s="2" t="inlineStr">
        <is>
          <t>Laura Torres</t>
        </is>
      </c>
      <c r="K70" s="2" t="inlineStr">
        <is>
          <t>CAM-004</t>
        </is>
      </c>
    </row>
    <row r="71">
      <c r="A71" s="5" t="inlineStr">
        <is>
          <t>ENV-0070</t>
        </is>
      </c>
      <c r="B71" s="6" t="n">
        <v>45515</v>
      </c>
      <c r="C71" s="5" t="inlineStr">
        <is>
          <t>LogiCargo SA</t>
        </is>
      </c>
      <c r="D71" s="5" t="inlineStr">
        <is>
          <t>Cali</t>
        </is>
      </c>
      <c r="E71" s="5" t="inlineStr">
        <is>
          <t>Pereira</t>
        </is>
      </c>
      <c r="F71" s="5" t="n">
        <v>1313</v>
      </c>
      <c r="G71" s="5" t="n">
        <v>9294</v>
      </c>
      <c r="H71" s="7" t="n">
        <v>791.1900000000001</v>
      </c>
      <c r="I71" s="5" t="inlineStr">
        <is>
          <t>Entregado</t>
        </is>
      </c>
      <c r="J71" s="5" t="inlineStr">
        <is>
          <t>Ana Martínez</t>
        </is>
      </c>
      <c r="K71" s="5" t="inlineStr">
        <is>
          <t>CAM-004</t>
        </is>
      </c>
    </row>
    <row r="72">
      <c r="A72" s="2" t="inlineStr">
        <is>
          <t>ENV-0071</t>
        </is>
      </c>
      <c r="B72" s="3" t="n">
        <v>45583</v>
      </c>
      <c r="C72" s="2" t="inlineStr">
        <is>
          <t>TransSur</t>
        </is>
      </c>
      <c r="D72" s="2" t="inlineStr">
        <is>
          <t>Medellín</t>
        </is>
      </c>
      <c r="E72" s="2" t="inlineStr">
        <is>
          <t>Pereira</t>
        </is>
      </c>
      <c r="F72" s="2" t="n">
        <v>1349</v>
      </c>
      <c r="G72" s="2" t="n">
        <v>12918</v>
      </c>
      <c r="H72" s="4" t="n">
        <v>882.6900000000001</v>
      </c>
      <c r="I72" s="2" t="inlineStr">
        <is>
          <t>Entregado</t>
        </is>
      </c>
      <c r="J72" s="2" t="inlineStr">
        <is>
          <t>Ana Martínez</t>
        </is>
      </c>
      <c r="K72" s="2" t="inlineStr">
        <is>
          <t>CAM-003</t>
        </is>
      </c>
    </row>
    <row r="73">
      <c r="A73" s="5" t="inlineStr">
        <is>
          <t>ENV-0072</t>
        </is>
      </c>
      <c r="B73" s="6" t="n">
        <v>45424</v>
      </c>
      <c r="C73" s="5" t="inlineStr">
        <is>
          <t>TransSur</t>
        </is>
      </c>
      <c r="D73" s="5" t="inlineStr">
        <is>
          <t>Bucaramanga</t>
        </is>
      </c>
      <c r="E73" s="5" t="inlineStr">
        <is>
          <t>Cartagena</t>
        </is>
      </c>
      <c r="F73" s="5" t="n">
        <v>797</v>
      </c>
      <c r="G73" s="5" t="n">
        <v>9663</v>
      </c>
      <c r="H73" s="7" t="n">
        <v>677.97</v>
      </c>
      <c r="I73" s="5" t="inlineStr">
        <is>
          <t>En tránsito</t>
        </is>
      </c>
      <c r="J73" s="5" t="inlineStr">
        <is>
          <t>Miguel Ríos</t>
        </is>
      </c>
      <c r="K73" s="5" t="inlineStr">
        <is>
          <t>CAM-002</t>
        </is>
      </c>
    </row>
    <row r="74">
      <c r="A74" s="2" t="inlineStr">
        <is>
          <t>ENV-0073</t>
        </is>
      </c>
      <c r="B74" s="3" t="n">
        <v>45335</v>
      </c>
      <c r="C74" s="2" t="inlineStr">
        <is>
          <t>CargoNorte</t>
        </is>
      </c>
      <c r="D74" s="2" t="inlineStr">
        <is>
          <t>Barranquilla</t>
        </is>
      </c>
      <c r="E74" s="2" t="inlineStr">
        <is>
          <t>Pereira</t>
        </is>
      </c>
      <c r="F74" s="2" t="n">
        <v>594</v>
      </c>
      <c r="G74" s="2" t="n">
        <v>13817</v>
      </c>
      <c r="H74" s="4" t="n">
        <v>591.36</v>
      </c>
      <c r="I74" s="2" t="inlineStr">
        <is>
          <t>En tránsito</t>
        </is>
      </c>
      <c r="J74" s="2" t="inlineStr">
        <is>
          <t>Carlos Ruiz</t>
        </is>
      </c>
      <c r="K74" s="2" t="inlineStr">
        <is>
          <t>CAM-001</t>
        </is>
      </c>
    </row>
    <row r="75">
      <c r="A75" s="5" t="inlineStr">
        <is>
          <t>ENV-0074</t>
        </is>
      </c>
      <c r="B75" s="6" t="n">
        <v>45442</v>
      </c>
      <c r="C75" s="5" t="inlineStr">
        <is>
          <t>ExpressLoad</t>
        </is>
      </c>
      <c r="D75" s="5" t="inlineStr">
        <is>
          <t>Cali</t>
        </is>
      </c>
      <c r="E75" s="5" t="inlineStr">
        <is>
          <t>Pereira</t>
        </is>
      </c>
      <c r="F75" s="5" t="n">
        <v>553</v>
      </c>
      <c r="G75" s="5" t="n">
        <v>13751</v>
      </c>
      <c r="H75" s="7" t="n">
        <v>612.23</v>
      </c>
      <c r="I75" s="5" t="inlineStr">
        <is>
          <t>Entregado</t>
        </is>
      </c>
      <c r="J75" s="5" t="inlineStr">
        <is>
          <t>Miguel Ríos</t>
        </is>
      </c>
      <c r="K75" s="5" t="inlineStr">
        <is>
          <t>CAM-005</t>
        </is>
      </c>
    </row>
    <row r="76">
      <c r="A76" s="2" t="inlineStr">
        <is>
          <t>ENV-0075</t>
        </is>
      </c>
      <c r="B76" s="3" t="n">
        <v>45468</v>
      </c>
      <c r="C76" s="2" t="inlineStr">
        <is>
          <t>TransSur</t>
        </is>
      </c>
      <c r="D76" s="2" t="inlineStr">
        <is>
          <t>Cali</t>
        </is>
      </c>
      <c r="E76" s="2" t="inlineStr">
        <is>
          <t>Cúcuta</t>
        </is>
      </c>
      <c r="F76" s="2" t="n">
        <v>971</v>
      </c>
      <c r="G76" s="2" t="n">
        <v>18535</v>
      </c>
      <c r="H76" s="4" t="n">
        <v>823.8099999999999</v>
      </c>
      <c r="I76" s="2" t="inlineStr">
        <is>
          <t>En tránsito</t>
        </is>
      </c>
      <c r="J76" s="2" t="inlineStr">
        <is>
          <t>Ana Martínez</t>
        </is>
      </c>
      <c r="K76" s="2" t="inlineStr">
        <is>
          <t>CAM-001</t>
        </is>
      </c>
    </row>
    <row r="77">
      <c r="A77" s="5" t="inlineStr">
        <is>
          <t>ENV-0076</t>
        </is>
      </c>
      <c r="B77" s="6" t="n">
        <v>45390</v>
      </c>
      <c r="C77" s="5" t="inlineStr">
        <is>
          <t>FreightMax</t>
        </is>
      </c>
      <c r="D77" s="5" t="inlineStr">
        <is>
          <t>Medellín</t>
        </is>
      </c>
      <c r="E77" s="5" t="inlineStr">
        <is>
          <t>Santa Marta</t>
        </is>
      </c>
      <c r="F77" s="5" t="n">
        <v>746</v>
      </c>
      <c r="G77" s="5" t="n">
        <v>4417</v>
      </c>
      <c r="H77" s="7" t="n">
        <v>522.62</v>
      </c>
      <c r="I77" s="5" t="inlineStr">
        <is>
          <t>Cancelado</t>
        </is>
      </c>
      <c r="J77" s="5" t="inlineStr">
        <is>
          <t>Laura Torres</t>
        </is>
      </c>
      <c r="K77" s="5" t="inlineStr">
        <is>
          <t>CAM-003</t>
        </is>
      </c>
    </row>
    <row r="78">
      <c r="A78" s="2" t="inlineStr">
        <is>
          <t>ENV-0077</t>
        </is>
      </c>
      <c r="B78" s="3" t="n">
        <v>45593</v>
      </c>
      <c r="C78" s="2" t="inlineStr">
        <is>
          <t>TransSur</t>
        </is>
      </c>
      <c r="D78" s="2" t="inlineStr">
        <is>
          <t>Medellín</t>
        </is>
      </c>
      <c r="E78" s="2" t="inlineStr">
        <is>
          <t>Cúcuta</t>
        </is>
      </c>
      <c r="F78" s="2" t="n">
        <v>1174</v>
      </c>
      <c r="G78" s="2" t="n">
        <v>9773</v>
      </c>
      <c r="H78" s="4" t="n">
        <v>869.86</v>
      </c>
      <c r="I78" s="2" t="inlineStr">
        <is>
          <t>En tránsito</t>
        </is>
      </c>
      <c r="J78" s="2" t="inlineStr">
        <is>
          <t>Ana Martínez</t>
        </is>
      </c>
      <c r="K78" s="2" t="inlineStr">
        <is>
          <t>CAM-003</t>
        </is>
      </c>
    </row>
    <row r="79">
      <c r="A79" s="5" t="inlineStr">
        <is>
          <t>ENV-0078</t>
        </is>
      </c>
      <c r="B79" s="6" t="n">
        <v>45299</v>
      </c>
      <c r="C79" s="5" t="inlineStr">
        <is>
          <t>ExpressLoad</t>
        </is>
      </c>
      <c r="D79" s="5" t="inlineStr">
        <is>
          <t>Cali</t>
        </is>
      </c>
      <c r="E79" s="5" t="inlineStr">
        <is>
          <t>Santa Marta</t>
        </is>
      </c>
      <c r="F79" s="5" t="n">
        <v>1193</v>
      </c>
      <c r="G79" s="5" t="n">
        <v>4647</v>
      </c>
      <c r="H79" s="7" t="n">
        <v>634.65</v>
      </c>
      <c r="I79" s="5" t="inlineStr">
        <is>
          <t>Cancelado</t>
        </is>
      </c>
      <c r="J79" s="5" t="inlineStr">
        <is>
          <t>Laura Torres</t>
        </is>
      </c>
      <c r="K79" s="5" t="inlineStr">
        <is>
          <t>CAM-001</t>
        </is>
      </c>
    </row>
    <row r="80">
      <c r="A80" s="2" t="inlineStr">
        <is>
          <t>ENV-0079</t>
        </is>
      </c>
      <c r="B80" s="3" t="n">
        <v>45298</v>
      </c>
      <c r="C80" s="2" t="inlineStr">
        <is>
          <t>FreightMax</t>
        </is>
      </c>
      <c r="D80" s="2" t="inlineStr">
        <is>
          <t>Bogotá</t>
        </is>
      </c>
      <c r="E80" s="2" t="inlineStr">
        <is>
          <t>Cúcuta</t>
        </is>
      </c>
      <c r="F80" s="2" t="n">
        <v>1275</v>
      </c>
      <c r="G80" s="2" t="n">
        <v>9817</v>
      </c>
      <c r="H80" s="4" t="n">
        <v>813.97</v>
      </c>
      <c r="I80" s="2" t="inlineStr">
        <is>
          <t>Entregado</t>
        </is>
      </c>
      <c r="J80" s="2" t="inlineStr">
        <is>
          <t>Laura Torres</t>
        </is>
      </c>
      <c r="K80" s="2" t="inlineStr">
        <is>
          <t>CAM-001</t>
        </is>
      </c>
    </row>
    <row r="81">
      <c r="A81" s="5" t="inlineStr">
        <is>
          <t>ENV-0080</t>
        </is>
      </c>
      <c r="B81" s="6" t="n">
        <v>45325</v>
      </c>
      <c r="C81" s="5" t="inlineStr">
        <is>
          <t>LogiCargo SA</t>
        </is>
      </c>
      <c r="D81" s="5" t="inlineStr">
        <is>
          <t>Medellín</t>
        </is>
      </c>
      <c r="E81" s="5" t="inlineStr">
        <is>
          <t>Santa Marta</t>
        </is>
      </c>
      <c r="F81" s="5" t="n">
        <v>920</v>
      </c>
      <c r="G81" s="5" t="n">
        <v>16613</v>
      </c>
      <c r="H81" s="7" t="n">
        <v>711.08</v>
      </c>
      <c r="I81" s="5" t="inlineStr">
        <is>
          <t>En tránsito</t>
        </is>
      </c>
      <c r="J81" s="5" t="inlineStr">
        <is>
          <t>Miguel Ríos</t>
        </is>
      </c>
      <c r="K81" s="5" t="inlineStr">
        <is>
          <t>CAM-003</t>
        </is>
      </c>
    </row>
    <row r="82">
      <c r="A82" s="2" t="inlineStr">
        <is>
          <t>ENV-0081</t>
        </is>
      </c>
      <c r="B82" s="3" t="n">
        <v>45335</v>
      </c>
      <c r="C82" s="2" t="inlineStr">
        <is>
          <t>ExpressLoad</t>
        </is>
      </c>
      <c r="D82" s="2" t="inlineStr">
        <is>
          <t>Bucaramanga</t>
        </is>
      </c>
      <c r="E82" s="2" t="inlineStr">
        <is>
          <t>Santa Marta</t>
        </is>
      </c>
      <c r="F82" s="2" t="n">
        <v>608</v>
      </c>
      <c r="G82" s="2" t="n">
        <v>4381</v>
      </c>
      <c r="H82" s="4" t="n">
        <v>422.83</v>
      </c>
      <c r="I82" s="2" t="inlineStr">
        <is>
          <t>Entregado</t>
        </is>
      </c>
      <c r="J82" s="2" t="inlineStr">
        <is>
          <t>Miguel Ríos</t>
        </is>
      </c>
      <c r="K82" s="2" t="inlineStr">
        <is>
          <t>CAM-004</t>
        </is>
      </c>
    </row>
    <row r="83">
      <c r="A83" s="5" t="inlineStr">
        <is>
          <t>ENV-0082</t>
        </is>
      </c>
      <c r="B83" s="6" t="n">
        <v>45522</v>
      </c>
      <c r="C83" s="5" t="inlineStr">
        <is>
          <t>TransSur</t>
        </is>
      </c>
      <c r="D83" s="5" t="inlineStr">
        <is>
          <t>Bucaramanga</t>
        </is>
      </c>
      <c r="E83" s="5" t="inlineStr">
        <is>
          <t>Manizales</t>
        </is>
      </c>
      <c r="F83" s="5" t="n">
        <v>1006</v>
      </c>
      <c r="G83" s="5" t="n">
        <v>10243</v>
      </c>
      <c r="H83" s="7" t="n">
        <v>779.59</v>
      </c>
      <c r="I83" s="5" t="inlineStr">
        <is>
          <t>Cancelado</t>
        </is>
      </c>
      <c r="J83" s="5" t="inlineStr">
        <is>
          <t>Carlos Ruiz</t>
        </is>
      </c>
      <c r="K83" s="5" t="inlineStr">
        <is>
          <t>CAM-005</t>
        </is>
      </c>
    </row>
    <row r="84">
      <c r="A84" s="2" t="inlineStr">
        <is>
          <t>ENV-0083</t>
        </is>
      </c>
      <c r="B84" s="3" t="n">
        <v>45342</v>
      </c>
      <c r="C84" s="2" t="inlineStr">
        <is>
          <t>FreightMax</t>
        </is>
      </c>
      <c r="D84" s="2" t="inlineStr">
        <is>
          <t>Medellín</t>
        </is>
      </c>
      <c r="E84" s="2" t="inlineStr">
        <is>
          <t>Manizales</t>
        </is>
      </c>
      <c r="F84" s="2" t="n">
        <v>525</v>
      </c>
      <c r="G84" s="2" t="n">
        <v>7414</v>
      </c>
      <c r="H84" s="4" t="n">
        <v>387.46</v>
      </c>
      <c r="I84" s="2" t="inlineStr">
        <is>
          <t>Entregado</t>
        </is>
      </c>
      <c r="J84" s="2" t="inlineStr">
        <is>
          <t>Carlos Ruiz</t>
        </is>
      </c>
      <c r="K84" s="2" t="inlineStr">
        <is>
          <t>CAM-002</t>
        </is>
      </c>
    </row>
    <row r="85">
      <c r="A85" s="5" t="inlineStr">
        <is>
          <t>ENV-0084</t>
        </is>
      </c>
      <c r="B85" s="6" t="n">
        <v>45293</v>
      </c>
      <c r="C85" s="5" t="inlineStr">
        <is>
          <t>LogiCargo SA</t>
        </is>
      </c>
      <c r="D85" s="5" t="inlineStr">
        <is>
          <t>Medellín</t>
        </is>
      </c>
      <c r="E85" s="5" t="inlineStr">
        <is>
          <t>Cúcuta</t>
        </is>
      </c>
      <c r="F85" s="5" t="n">
        <v>936</v>
      </c>
      <c r="G85" s="5" t="n">
        <v>15262</v>
      </c>
      <c r="H85" s="7" t="n">
        <v>814.3099999999999</v>
      </c>
      <c r="I85" s="5" t="inlineStr">
        <is>
          <t>Entregado</t>
        </is>
      </c>
      <c r="J85" s="5" t="inlineStr">
        <is>
          <t>Pedro López</t>
        </is>
      </c>
      <c r="K85" s="5" t="inlineStr">
        <is>
          <t>CAM-004</t>
        </is>
      </c>
    </row>
    <row r="86">
      <c r="A86" s="2" t="inlineStr">
        <is>
          <t>ENV-0085</t>
        </is>
      </c>
      <c r="B86" s="3" t="n">
        <v>45328</v>
      </c>
      <c r="C86" s="2" t="inlineStr">
        <is>
          <t>FreightMax</t>
        </is>
      </c>
      <c r="D86" s="2" t="inlineStr">
        <is>
          <t>Barranquilla</t>
        </is>
      </c>
      <c r="E86" s="2" t="inlineStr">
        <is>
          <t>Cartagena</t>
        </is>
      </c>
      <c r="F86" s="2" t="n">
        <v>578</v>
      </c>
      <c r="G86" s="2" t="n">
        <v>9168</v>
      </c>
      <c r="H86" s="4" t="n">
        <v>551.03</v>
      </c>
      <c r="I86" s="2" t="inlineStr">
        <is>
          <t>En tránsito</t>
        </is>
      </c>
      <c r="J86" s="2" t="inlineStr">
        <is>
          <t>Miguel Ríos</t>
        </is>
      </c>
      <c r="K86" s="2" t="inlineStr">
        <is>
          <t>CAM-002</t>
        </is>
      </c>
    </row>
    <row r="87">
      <c r="A87" s="5" t="inlineStr">
        <is>
          <t>ENV-0086</t>
        </is>
      </c>
      <c r="B87" s="6" t="n">
        <v>45623</v>
      </c>
      <c r="C87" s="5" t="inlineStr">
        <is>
          <t>FreightMax</t>
        </is>
      </c>
      <c r="D87" s="5" t="inlineStr">
        <is>
          <t>Cali</t>
        </is>
      </c>
      <c r="E87" s="5" t="inlineStr">
        <is>
          <t>Manizales</t>
        </is>
      </c>
      <c r="F87" s="5" t="n">
        <v>405</v>
      </c>
      <c r="G87" s="5" t="n">
        <v>9204</v>
      </c>
      <c r="H87" s="7" t="n">
        <v>481.66</v>
      </c>
      <c r="I87" s="5" t="inlineStr">
        <is>
          <t>Entregado</t>
        </is>
      </c>
      <c r="J87" s="5" t="inlineStr">
        <is>
          <t>Miguel Ríos</t>
        </is>
      </c>
      <c r="K87" s="5" t="inlineStr">
        <is>
          <t>CAM-003</t>
        </is>
      </c>
    </row>
    <row r="88">
      <c r="A88" s="2" t="inlineStr">
        <is>
          <t>ENV-0087</t>
        </is>
      </c>
      <c r="B88" s="3" t="n">
        <v>45516</v>
      </c>
      <c r="C88" s="2" t="inlineStr">
        <is>
          <t>TransSur</t>
        </is>
      </c>
      <c r="D88" s="2" t="inlineStr">
        <is>
          <t>Bucaramanga</t>
        </is>
      </c>
      <c r="E88" s="2" t="inlineStr">
        <is>
          <t>Manizales</t>
        </is>
      </c>
      <c r="F88" s="2" t="n">
        <v>354</v>
      </c>
      <c r="G88" s="2" t="n">
        <v>15858</v>
      </c>
      <c r="H88" s="4" t="n">
        <v>564.2</v>
      </c>
      <c r="I88" s="2" t="inlineStr">
        <is>
          <t>En tránsito</t>
        </is>
      </c>
      <c r="J88" s="2" t="inlineStr">
        <is>
          <t>Laura Torres</t>
        </is>
      </c>
      <c r="K88" s="2" t="inlineStr">
        <is>
          <t>CAM-004</t>
        </is>
      </c>
    </row>
    <row r="89">
      <c r="A89" s="5" t="inlineStr">
        <is>
          <t>ENV-0088</t>
        </is>
      </c>
      <c r="B89" s="6" t="n">
        <v>45333</v>
      </c>
      <c r="C89" s="5" t="inlineStr">
        <is>
          <t>ExpressLoad</t>
        </is>
      </c>
      <c r="D89" s="5" t="inlineStr">
        <is>
          <t>Cali</t>
        </is>
      </c>
      <c r="E89" s="5" t="inlineStr">
        <is>
          <t>Cartagena</t>
        </is>
      </c>
      <c r="F89" s="5" t="n">
        <v>1324</v>
      </c>
      <c r="G89" s="5" t="n">
        <v>1806</v>
      </c>
      <c r="H89" s="7" t="n">
        <v>759.8</v>
      </c>
      <c r="I89" s="5" t="inlineStr">
        <is>
          <t>En tránsito</t>
        </is>
      </c>
      <c r="J89" s="5" t="inlineStr">
        <is>
          <t>Carlos Ruiz</t>
        </is>
      </c>
      <c r="K89" s="5" t="inlineStr">
        <is>
          <t>CAM-002</t>
        </is>
      </c>
    </row>
    <row r="90">
      <c r="A90" s="2" t="inlineStr">
        <is>
          <t>ENV-0089</t>
        </is>
      </c>
      <c r="B90" s="3" t="n">
        <v>45637</v>
      </c>
      <c r="C90" s="2" t="inlineStr">
        <is>
          <t>TransSur</t>
        </is>
      </c>
      <c r="D90" s="2" t="inlineStr">
        <is>
          <t>Bucaramanga</t>
        </is>
      </c>
      <c r="E90" s="2" t="inlineStr">
        <is>
          <t>Cartagena</t>
        </is>
      </c>
      <c r="F90" s="2" t="n">
        <v>1278</v>
      </c>
      <c r="G90" s="2" t="n">
        <v>19738</v>
      </c>
      <c r="H90" s="4" t="n">
        <v>1110.02</v>
      </c>
      <c r="I90" s="2" t="inlineStr">
        <is>
          <t>Cancelado</t>
        </is>
      </c>
      <c r="J90" s="2" t="inlineStr">
        <is>
          <t>Ana Martínez</t>
        </is>
      </c>
      <c r="K90" s="2" t="inlineStr">
        <is>
          <t>CAM-004</t>
        </is>
      </c>
    </row>
    <row r="91">
      <c r="A91" s="5" t="inlineStr">
        <is>
          <t>ENV-0090</t>
        </is>
      </c>
      <c r="B91" s="6" t="n">
        <v>45557</v>
      </c>
      <c r="C91" s="5" t="inlineStr">
        <is>
          <t>ExpressLoad</t>
        </is>
      </c>
      <c r="D91" s="5" t="inlineStr">
        <is>
          <t>Barranquilla</t>
        </is>
      </c>
      <c r="E91" s="5" t="inlineStr">
        <is>
          <t>Pereira</t>
        </is>
      </c>
      <c r="F91" s="5" t="n">
        <v>1434</v>
      </c>
      <c r="G91" s="5" t="n">
        <v>14990</v>
      </c>
      <c r="H91" s="7" t="n">
        <v>1078.31</v>
      </c>
      <c r="I91" s="5" t="inlineStr">
        <is>
          <t>Entregado</t>
        </is>
      </c>
      <c r="J91" s="5" t="inlineStr">
        <is>
          <t>Carlos Ruiz</t>
        </is>
      </c>
      <c r="K91" s="5" t="inlineStr">
        <is>
          <t>CAM-004</t>
        </is>
      </c>
    </row>
    <row r="92">
      <c r="A92" s="2" t="inlineStr">
        <is>
          <t>ENV-0091</t>
        </is>
      </c>
      <c r="B92" s="3" t="n">
        <v>45470</v>
      </c>
      <c r="C92" s="2" t="inlineStr">
        <is>
          <t>FreightMax</t>
        </is>
      </c>
      <c r="D92" s="2" t="inlineStr">
        <is>
          <t>Cali</t>
        </is>
      </c>
      <c r="E92" s="2" t="inlineStr">
        <is>
          <t>Pereira</t>
        </is>
      </c>
      <c r="F92" s="2" t="n">
        <v>936</v>
      </c>
      <c r="G92" s="2" t="n">
        <v>11421</v>
      </c>
      <c r="H92" s="4" t="n">
        <v>663.83</v>
      </c>
      <c r="I92" s="2" t="inlineStr">
        <is>
          <t>Entregado</t>
        </is>
      </c>
      <c r="J92" s="2" t="inlineStr">
        <is>
          <t>Laura Torres</t>
        </is>
      </c>
      <c r="K92" s="2" t="inlineStr">
        <is>
          <t>CAM-003</t>
        </is>
      </c>
    </row>
    <row r="93">
      <c r="A93" s="5" t="inlineStr">
        <is>
          <t>ENV-0092</t>
        </is>
      </c>
      <c r="B93" s="6" t="n">
        <v>45631</v>
      </c>
      <c r="C93" s="5" t="inlineStr">
        <is>
          <t>TransSur</t>
        </is>
      </c>
      <c r="D93" s="5" t="inlineStr">
        <is>
          <t>Cali</t>
        </is>
      </c>
      <c r="E93" s="5" t="inlineStr">
        <is>
          <t>Cartagena</t>
        </is>
      </c>
      <c r="F93" s="5" t="n">
        <v>920</v>
      </c>
      <c r="G93" s="5" t="n">
        <v>18525</v>
      </c>
      <c r="H93" s="7" t="n">
        <v>741.84</v>
      </c>
      <c r="I93" s="5" t="inlineStr">
        <is>
          <t>Entregado</t>
        </is>
      </c>
      <c r="J93" s="5" t="inlineStr">
        <is>
          <t>Laura Torres</t>
        </is>
      </c>
      <c r="K93" s="5" t="inlineStr">
        <is>
          <t>CAM-005</t>
        </is>
      </c>
    </row>
    <row r="94">
      <c r="A94" s="2" t="inlineStr">
        <is>
          <t>ENV-0093</t>
        </is>
      </c>
      <c r="B94" s="3" t="n">
        <v>45292</v>
      </c>
      <c r="C94" s="2" t="inlineStr">
        <is>
          <t>ExpressLoad</t>
        </is>
      </c>
      <c r="D94" s="2" t="inlineStr">
        <is>
          <t>Cali</t>
        </is>
      </c>
      <c r="E94" s="2" t="inlineStr">
        <is>
          <t>Manizales</t>
        </is>
      </c>
      <c r="F94" s="2" t="n">
        <v>1446</v>
      </c>
      <c r="G94" s="2" t="n">
        <v>18279</v>
      </c>
      <c r="H94" s="4" t="n">
        <v>1058.68</v>
      </c>
      <c r="I94" s="2" t="inlineStr">
        <is>
          <t>Entregado</t>
        </is>
      </c>
      <c r="J94" s="2" t="inlineStr">
        <is>
          <t>Laura Torres</t>
        </is>
      </c>
      <c r="K94" s="2" t="inlineStr">
        <is>
          <t>CAM-004</t>
        </is>
      </c>
    </row>
    <row r="95">
      <c r="A95" s="5" t="inlineStr">
        <is>
          <t>ENV-0094</t>
        </is>
      </c>
      <c r="B95" s="6" t="n">
        <v>45318</v>
      </c>
      <c r="C95" s="5" t="inlineStr">
        <is>
          <t>CargoNorte</t>
        </is>
      </c>
      <c r="D95" s="5" t="inlineStr">
        <is>
          <t>Barranquilla</t>
        </is>
      </c>
      <c r="E95" s="5" t="inlineStr">
        <is>
          <t>Cartagena</t>
        </is>
      </c>
      <c r="F95" s="5" t="n">
        <v>516</v>
      </c>
      <c r="G95" s="5" t="n">
        <v>9250</v>
      </c>
      <c r="H95" s="7" t="n">
        <v>477.04</v>
      </c>
      <c r="I95" s="5" t="inlineStr">
        <is>
          <t>Retrasado</t>
        </is>
      </c>
      <c r="J95" s="5" t="inlineStr">
        <is>
          <t>Carlos Ruiz</t>
        </is>
      </c>
      <c r="K95" s="5" t="inlineStr">
        <is>
          <t>CAM-005</t>
        </is>
      </c>
    </row>
    <row r="96">
      <c r="A96" s="2" t="inlineStr">
        <is>
          <t>ENV-0095</t>
        </is>
      </c>
      <c r="B96" s="3" t="n">
        <v>45414</v>
      </c>
      <c r="C96" s="2" t="inlineStr">
        <is>
          <t>LogiCargo SA</t>
        </is>
      </c>
      <c r="D96" s="2" t="inlineStr">
        <is>
          <t>Medellín</t>
        </is>
      </c>
      <c r="E96" s="2" t="inlineStr">
        <is>
          <t>Cartagena</t>
        </is>
      </c>
      <c r="F96" s="2" t="n">
        <v>424</v>
      </c>
      <c r="G96" s="2" t="n">
        <v>10682</v>
      </c>
      <c r="H96" s="4" t="n">
        <v>464.61</v>
      </c>
      <c r="I96" s="2" t="inlineStr">
        <is>
          <t>Entregado</t>
        </is>
      </c>
      <c r="J96" s="2" t="inlineStr">
        <is>
          <t>Laura Torres</t>
        </is>
      </c>
      <c r="K96" s="2" t="inlineStr">
        <is>
          <t>CAM-001</t>
        </is>
      </c>
    </row>
    <row r="97">
      <c r="A97" s="5" t="inlineStr">
        <is>
          <t>ENV-0096</t>
        </is>
      </c>
      <c r="B97" s="6" t="n">
        <v>45623</v>
      </c>
      <c r="C97" s="5" t="inlineStr">
        <is>
          <t>TransSur</t>
        </is>
      </c>
      <c r="D97" s="5" t="inlineStr">
        <is>
          <t>Barranquilla</t>
        </is>
      </c>
      <c r="E97" s="5" t="inlineStr">
        <is>
          <t>Pereira</t>
        </is>
      </c>
      <c r="F97" s="5" t="n">
        <v>415</v>
      </c>
      <c r="G97" s="5" t="n">
        <v>16830</v>
      </c>
      <c r="H97" s="7" t="n">
        <v>659.88</v>
      </c>
      <c r="I97" s="5" t="inlineStr">
        <is>
          <t>Entregado</t>
        </is>
      </c>
      <c r="J97" s="5" t="inlineStr">
        <is>
          <t>Laura Torres</t>
        </is>
      </c>
      <c r="K97" s="5" t="inlineStr">
        <is>
          <t>CAM-002</t>
        </is>
      </c>
    </row>
    <row r="98">
      <c r="A98" s="2" t="inlineStr">
        <is>
          <t>ENV-0097</t>
        </is>
      </c>
      <c r="B98" s="3" t="n">
        <v>45525</v>
      </c>
      <c r="C98" s="2" t="inlineStr">
        <is>
          <t>ExpressLoad</t>
        </is>
      </c>
      <c r="D98" s="2" t="inlineStr">
        <is>
          <t>Medellín</t>
        </is>
      </c>
      <c r="E98" s="2" t="inlineStr">
        <is>
          <t>Cartagena</t>
        </is>
      </c>
      <c r="F98" s="2" t="n">
        <v>1228</v>
      </c>
      <c r="G98" s="2" t="n">
        <v>5239</v>
      </c>
      <c r="H98" s="4" t="n">
        <v>684.1</v>
      </c>
      <c r="I98" s="2" t="inlineStr">
        <is>
          <t>Retrasado</t>
        </is>
      </c>
      <c r="J98" s="2" t="inlineStr">
        <is>
          <t>Pedro López</t>
        </is>
      </c>
      <c r="K98" s="2" t="inlineStr">
        <is>
          <t>CAM-004</t>
        </is>
      </c>
    </row>
    <row r="99">
      <c r="A99" s="5" t="inlineStr">
        <is>
          <t>ENV-0098</t>
        </is>
      </c>
      <c r="B99" s="6" t="n">
        <v>45466</v>
      </c>
      <c r="C99" s="5" t="inlineStr">
        <is>
          <t>TransSur</t>
        </is>
      </c>
      <c r="D99" s="5" t="inlineStr">
        <is>
          <t>Bucaramanga</t>
        </is>
      </c>
      <c r="E99" s="5" t="inlineStr">
        <is>
          <t>Manizales</t>
        </is>
      </c>
      <c r="F99" s="5" t="n">
        <v>1139</v>
      </c>
      <c r="G99" s="5" t="n">
        <v>9254</v>
      </c>
      <c r="H99" s="7" t="n">
        <v>811.74</v>
      </c>
      <c r="I99" s="5" t="inlineStr">
        <is>
          <t>Entregado</t>
        </is>
      </c>
      <c r="J99" s="5" t="inlineStr">
        <is>
          <t>Laura Torres</t>
        </is>
      </c>
      <c r="K99" s="5" t="inlineStr">
        <is>
          <t>CAM-002</t>
        </is>
      </c>
    </row>
    <row r="100">
      <c r="A100" s="2" t="inlineStr">
        <is>
          <t>ENV-0099</t>
        </is>
      </c>
      <c r="B100" s="3" t="n">
        <v>45520</v>
      </c>
      <c r="C100" s="2" t="inlineStr">
        <is>
          <t>ExpressLoad</t>
        </is>
      </c>
      <c r="D100" s="2" t="inlineStr">
        <is>
          <t>Barranquilla</t>
        </is>
      </c>
      <c r="E100" s="2" t="inlineStr">
        <is>
          <t>Pereira</t>
        </is>
      </c>
      <c r="F100" s="2" t="n">
        <v>1203</v>
      </c>
      <c r="G100" s="2" t="n">
        <v>16370</v>
      </c>
      <c r="H100" s="4" t="n">
        <v>887.77</v>
      </c>
      <c r="I100" s="2" t="inlineStr">
        <is>
          <t>Entregado</t>
        </is>
      </c>
      <c r="J100" s="2" t="inlineStr">
        <is>
          <t>Pedro López</t>
        </is>
      </c>
      <c r="K100" s="2" t="inlineStr">
        <is>
          <t>CAM-002</t>
        </is>
      </c>
    </row>
    <row r="101">
      <c r="A101" s="5" t="inlineStr">
        <is>
          <t>ENV-0100</t>
        </is>
      </c>
      <c r="B101" s="6" t="n">
        <v>45649</v>
      </c>
      <c r="C101" s="5" t="inlineStr">
        <is>
          <t>CargoNorte</t>
        </is>
      </c>
      <c r="D101" s="5" t="inlineStr">
        <is>
          <t>Bogotá</t>
        </is>
      </c>
      <c r="E101" s="5" t="inlineStr">
        <is>
          <t>Cúcuta</t>
        </is>
      </c>
      <c r="F101" s="5" t="n">
        <v>589</v>
      </c>
      <c r="G101" s="5" t="n">
        <v>19236</v>
      </c>
      <c r="H101" s="7" t="n">
        <v>676.36</v>
      </c>
      <c r="I101" s="5" t="inlineStr">
        <is>
          <t>Retrasado</t>
        </is>
      </c>
      <c r="J101" s="5" t="inlineStr">
        <is>
          <t>Laura Torres</t>
        </is>
      </c>
      <c r="K101" s="5" t="inlineStr">
        <is>
          <t>CAM-004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4" customWidth="1" min="4" max="4"/>
    <col width="14" customWidth="1" min="5" max="5"/>
    <col width="22" customWidth="1" min="6" max="6"/>
    <col width="15" customWidth="1" min="7" max="7"/>
    <col width="14" customWidth="1" min="8" max="8"/>
    <col width="13" customWidth="1" min="9" max="9"/>
  </cols>
  <sheetData>
    <row r="1" ht="22" customHeight="1">
      <c r="A1" s="1" t="inlineStr">
        <is>
          <t>ID_Cliente</t>
        </is>
      </c>
      <c r="B1" s="1" t="inlineStr">
        <is>
          <t>Nombre</t>
        </is>
      </c>
      <c r="C1" s="1" t="inlineStr">
        <is>
          <t>Sector</t>
        </is>
      </c>
      <c r="D1" s="1" t="inlineStr">
        <is>
          <t>Ciudad</t>
        </is>
      </c>
      <c r="E1" s="1" t="inlineStr">
        <is>
          <t>Contacto</t>
        </is>
      </c>
      <c r="F1" s="1" t="inlineStr">
        <is>
          <t>Email</t>
        </is>
      </c>
      <c r="G1" s="1" t="inlineStr">
        <is>
          <t>Telefono</t>
        </is>
      </c>
      <c r="H1" s="1" t="inlineStr">
        <is>
          <t>Cliente_Desde</t>
        </is>
      </c>
      <c r="I1" s="1" t="inlineStr">
        <is>
          <t>Credito_USD</t>
        </is>
      </c>
    </row>
    <row r="2">
      <c r="A2" s="2" t="inlineStr">
        <is>
          <t>CLI-001</t>
        </is>
      </c>
      <c r="B2" s="2" t="inlineStr">
        <is>
          <t>LogiCargo SA</t>
        </is>
      </c>
      <c r="C2" s="2" t="inlineStr">
        <is>
          <t>Retail</t>
        </is>
      </c>
      <c r="D2" s="2" t="inlineStr">
        <is>
          <t>Bogotá</t>
        </is>
      </c>
      <c r="E2" s="2" t="inlineStr">
        <is>
          <t>Juan Pérez</t>
        </is>
      </c>
      <c r="F2" s="2" t="inlineStr">
        <is>
          <t>juan@logicargo.com</t>
        </is>
      </c>
      <c r="G2" s="2" t="inlineStr">
        <is>
          <t>300-111-2222</t>
        </is>
      </c>
      <c r="H2" s="3" t="n">
        <v>43905</v>
      </c>
      <c r="I2" s="8" t="n">
        <v>50000</v>
      </c>
    </row>
    <row r="3">
      <c r="A3" s="5" t="inlineStr">
        <is>
          <t>CLI-002</t>
        </is>
      </c>
      <c r="B3" s="5" t="inlineStr">
        <is>
          <t>FreightMax</t>
        </is>
      </c>
      <c r="C3" s="5" t="inlineStr">
        <is>
          <t>Manufactura</t>
        </is>
      </c>
      <c r="D3" s="5" t="inlineStr">
        <is>
          <t>Medellín</t>
        </is>
      </c>
      <c r="E3" s="5" t="inlineStr">
        <is>
          <t>María García</t>
        </is>
      </c>
      <c r="F3" s="5" t="inlineStr">
        <is>
          <t>maria@freightmax.com</t>
        </is>
      </c>
      <c r="G3" s="5" t="inlineStr">
        <is>
          <t>301-222-3333</t>
        </is>
      </c>
      <c r="H3" s="6" t="n">
        <v>43647</v>
      </c>
      <c r="I3" s="9" t="n">
        <v>75000</v>
      </c>
    </row>
    <row r="4">
      <c r="A4" s="2" t="inlineStr">
        <is>
          <t>CLI-003</t>
        </is>
      </c>
      <c r="B4" s="2" t="inlineStr">
        <is>
          <t>TransSur</t>
        </is>
      </c>
      <c r="C4" s="2" t="inlineStr">
        <is>
          <t>Farmacéutico</t>
        </is>
      </c>
      <c r="D4" s="2" t="inlineStr">
        <is>
          <t>Cali</t>
        </is>
      </c>
      <c r="E4" s="2" t="inlineStr">
        <is>
          <t>Carlos López</t>
        </is>
      </c>
      <c r="F4" s="2" t="inlineStr">
        <is>
          <t>carlos@transsur.com</t>
        </is>
      </c>
      <c r="G4" s="2" t="inlineStr">
        <is>
          <t>302-333-4444</t>
        </is>
      </c>
      <c r="H4" s="3" t="n">
        <v>44216</v>
      </c>
      <c r="I4" s="8" t="n">
        <v>30000</v>
      </c>
    </row>
    <row r="5">
      <c r="A5" s="5" t="inlineStr">
        <is>
          <t>CLI-004</t>
        </is>
      </c>
      <c r="B5" s="5" t="inlineStr">
        <is>
          <t>CargoNorte</t>
        </is>
      </c>
      <c r="C5" s="5" t="inlineStr">
        <is>
          <t>Construcción</t>
        </is>
      </c>
      <c r="D5" s="5" t="inlineStr">
        <is>
          <t>Barranquilla</t>
        </is>
      </c>
      <c r="E5" s="5" t="inlineStr">
        <is>
          <t>Ana Torres</t>
        </is>
      </c>
      <c r="F5" s="5" t="inlineStr">
        <is>
          <t>ana@cargonorte.com</t>
        </is>
      </c>
      <c r="G5" s="5" t="inlineStr">
        <is>
          <t>303-444-5555</t>
        </is>
      </c>
      <c r="H5" s="6" t="n">
        <v>43409</v>
      </c>
      <c r="I5" s="9" t="n">
        <v>90000</v>
      </c>
    </row>
    <row r="6">
      <c r="A6" s="2" t="inlineStr">
        <is>
          <t>CLI-005</t>
        </is>
      </c>
      <c r="B6" s="2" t="inlineStr">
        <is>
          <t>ExpressLoad</t>
        </is>
      </c>
      <c r="C6" s="2" t="inlineStr">
        <is>
          <t>Alimentos</t>
        </is>
      </c>
      <c r="D6" s="2" t="inlineStr">
        <is>
          <t>Bucaramanga</t>
        </is>
      </c>
      <c r="E6" s="2" t="inlineStr">
        <is>
          <t>Pedro Ríos</t>
        </is>
      </c>
      <c r="F6" s="2" t="inlineStr">
        <is>
          <t>pedro@expressload.com</t>
        </is>
      </c>
      <c r="G6" s="2" t="inlineStr">
        <is>
          <t>304-555-6666</t>
        </is>
      </c>
      <c r="H6" s="3" t="n">
        <v>44661</v>
      </c>
      <c r="I6" s="8" t="n">
        <v>25000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8" customWidth="1" min="4" max="4"/>
    <col width="14" customWidth="1" min="5" max="5"/>
    <col width="18" customWidth="1" min="6" max="6"/>
    <col width="20" customWidth="1" min="7" max="7"/>
    <col width="15" customWidth="1" min="8" max="8"/>
  </cols>
  <sheetData>
    <row r="1" ht="22" customHeight="1">
      <c r="A1" s="1" t="inlineStr">
        <is>
          <t>Camion_ID</t>
        </is>
      </c>
      <c r="B1" s="1" t="inlineStr">
        <is>
          <t>Marca</t>
        </is>
      </c>
      <c r="C1" s="1" t="inlineStr">
        <is>
          <t>Modelo</t>
        </is>
      </c>
      <c r="D1" s="1" t="inlineStr">
        <is>
          <t>Año</t>
        </is>
      </c>
      <c r="E1" s="1" t="inlineStr">
        <is>
          <t>Capacidad_kg</t>
        </is>
      </c>
      <c r="F1" s="1" t="inlineStr">
        <is>
          <t>Estado</t>
        </is>
      </c>
      <c r="G1" s="1" t="inlineStr">
        <is>
          <t>Ultimo_Mantenimiento</t>
        </is>
      </c>
      <c r="H1" s="1" t="inlineStr">
        <is>
          <t>Km_Recorridos</t>
        </is>
      </c>
    </row>
    <row r="2">
      <c r="A2" s="2" t="inlineStr">
        <is>
          <t>CAM-001</t>
        </is>
      </c>
      <c r="B2" s="2" t="inlineStr">
        <is>
          <t>Kenworth</t>
        </is>
      </c>
      <c r="C2" s="2" t="inlineStr">
        <is>
          <t>T680</t>
        </is>
      </c>
      <c r="D2" s="2" t="n">
        <v>2020</v>
      </c>
      <c r="E2" s="10" t="n">
        <v>22000</v>
      </c>
      <c r="F2" s="2" t="inlineStr">
        <is>
          <t>Activo</t>
        </is>
      </c>
      <c r="G2" s="3" t="n">
        <v>45580</v>
      </c>
      <c r="H2" s="10" t="n">
        <v>145000</v>
      </c>
    </row>
    <row r="3">
      <c r="A3" s="5" t="inlineStr">
        <is>
          <t>CAM-002</t>
        </is>
      </c>
      <c r="B3" s="5" t="inlineStr">
        <is>
          <t>Peterbilt</t>
        </is>
      </c>
      <c r="C3" s="5" t="inlineStr">
        <is>
          <t>579</t>
        </is>
      </c>
      <c r="D3" s="5" t="n">
        <v>2019</v>
      </c>
      <c r="E3" s="11" t="n">
        <v>20000</v>
      </c>
      <c r="F3" s="5" t="inlineStr">
        <is>
          <t>Activo</t>
        </is>
      </c>
      <c r="G3" s="6" t="n">
        <v>45599</v>
      </c>
      <c r="H3" s="11" t="n">
        <v>210000</v>
      </c>
    </row>
    <row r="4">
      <c r="A4" s="2" t="inlineStr">
        <is>
          <t>CAM-003</t>
        </is>
      </c>
      <c r="B4" s="2" t="inlineStr">
        <is>
          <t>Freightliner</t>
        </is>
      </c>
      <c r="C4" s="2" t="inlineStr">
        <is>
          <t>Cascadia</t>
        </is>
      </c>
      <c r="D4" s="2" t="n">
        <v>2021</v>
      </c>
      <c r="E4" s="10" t="n">
        <v>24000</v>
      </c>
      <c r="F4" s="2" t="inlineStr">
        <is>
          <t>En mantenimiento</t>
        </is>
      </c>
      <c r="G4" s="3" t="n">
        <v>45627</v>
      </c>
      <c r="H4" s="10" t="n">
        <v>98000</v>
      </c>
    </row>
    <row r="5">
      <c r="A5" s="5" t="inlineStr">
        <is>
          <t>CAM-004</t>
        </is>
      </c>
      <c r="B5" s="5" t="inlineStr">
        <is>
          <t>Volvo</t>
        </is>
      </c>
      <c r="C5" s="5" t="inlineStr">
        <is>
          <t>VNL 860</t>
        </is>
      </c>
      <c r="D5" s="5" t="n">
        <v>2022</v>
      </c>
      <c r="E5" s="11" t="n">
        <v>22500</v>
      </c>
      <c r="F5" s="5" t="inlineStr">
        <is>
          <t>Activo</t>
        </is>
      </c>
      <c r="G5" s="6" t="n">
        <v>45555</v>
      </c>
      <c r="H5" s="11" t="n">
        <v>67000</v>
      </c>
    </row>
    <row r="6">
      <c r="A6" s="2" t="inlineStr">
        <is>
          <t>CAM-005</t>
        </is>
      </c>
      <c r="B6" s="2" t="inlineStr">
        <is>
          <t>International</t>
        </is>
      </c>
      <c r="C6" s="2" t="inlineStr">
        <is>
          <t>LT Series</t>
        </is>
      </c>
      <c r="D6" s="2" t="n">
        <v>2018</v>
      </c>
      <c r="E6" s="10" t="n">
        <v>19000</v>
      </c>
      <c r="F6" s="2" t="inlineStr">
        <is>
          <t>Activo</t>
        </is>
      </c>
      <c r="G6" s="3" t="n">
        <v>45595</v>
      </c>
      <c r="H6" s="10" t="n">
        <v>312000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</cols>
  <sheetData>
    <row r="1" ht="30" customHeight="1">
      <c r="A1" s="12" t="inlineStr">
        <is>
          <t>KPIs de Operaciones - Trucking</t>
        </is>
      </c>
    </row>
    <row r="3">
      <c r="A3" s="13" t="inlineStr">
        <is>
          <t>Total Envíos</t>
        </is>
      </c>
      <c r="B3" s="14">
        <f>COUNTA(Envíos!A2:A101)</f>
        <v/>
      </c>
    </row>
    <row r="4">
      <c r="A4" s="13" t="inlineStr">
        <is>
          <t>Ingresos Totales</t>
        </is>
      </c>
      <c r="B4" s="15">
        <f>SUM(Envíos!H2:H101)</f>
        <v/>
      </c>
    </row>
    <row r="5">
      <c r="A5" s="13" t="inlineStr">
        <is>
          <t>Tarifa Promedio</t>
        </is>
      </c>
      <c r="B5" s="15">
        <f>AVERAGE(Envíos!H2:H101)</f>
        <v/>
      </c>
    </row>
    <row r="6">
      <c r="A6" s="13" t="inlineStr">
        <is>
          <t>Distancia Prom km</t>
        </is>
      </c>
      <c r="B6" s="16">
        <f>AVERAGE(Envíos!F2:F101)</f>
        <v/>
      </c>
    </row>
    <row r="7">
      <c r="A7" s="13" t="inlineStr">
        <is>
          <t>Envíos Entregados</t>
        </is>
      </c>
      <c r="B7" s="14">
        <f>COUNTIF(Envíos!I2:I101,"Entregado")</f>
        <v/>
      </c>
    </row>
    <row r="8">
      <c r="A8" s="13" t="inlineStr">
        <is>
          <t>Envíos Retrasados</t>
        </is>
      </c>
      <c r="B8" s="14">
        <f>COUNTIF(Envíos!I2:I101,"Retrasado")</f>
        <v/>
      </c>
    </row>
    <row r="9">
      <c r="A9" s="13" t="inlineStr">
        <is>
          <t>Tasa de Entrega</t>
        </is>
      </c>
      <c r="B9" s="17">
        <f>COUNTIF(Envíos!I2:I101,"Entregado")/COUNTA(Envíos!A2:A101)</f>
        <v/>
      </c>
    </row>
    <row r="10">
      <c r="A10" s="13" t="inlineStr">
        <is>
          <t>Peso Total kg</t>
        </is>
      </c>
      <c r="B10" s="18">
        <f>SUM(Envíos!G2:G101)</f>
        <v/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2026-05-09T00:26:45Z</dcterms:created>
  <dcterms:modified xmlns:dcterms="http://purl.org/dc/terms/" xmlns:xsi="http://www.w3.org/2001/XMLSchema-instance" xsi:type="dcterms:W3CDTF">2026-05-09T00:26:45Z</dcterms:modified>
</cp:coreProperties>
</file>